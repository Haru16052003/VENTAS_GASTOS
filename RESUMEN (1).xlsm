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/>
  <mc:AlternateContent xmlns:mc="http://schemas.openxmlformats.org/markup-compatibility/2006">
    <mc:Choice Requires="x15">
      <x15ac:absPath xmlns:x15ac="http://schemas.microsoft.com/office/spreadsheetml/2010/11/ac" url="C:\Users\harum\Downloads\"/>
    </mc:Choice>
  </mc:AlternateContent>
  <xr:revisionPtr revIDLastSave="0" documentId="8_{3A811846-78D9-4333-815C-D92989BDE84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AXIS_2025" sheetId="1" r:id="rId1"/>
    <sheet name="GASTOS_ 2025" sheetId="2" r:id="rId2"/>
    <sheet name="VENTAS_2025" sheetId="3" r:id="rId3"/>
    <sheet name="VENTAS_NOV_DIC _2024" sheetId="6" r:id="rId4"/>
    <sheet name="GASTOS_2024" sheetId="8" r:id="rId5"/>
    <sheet name="TAXIS_2024" sheetId="7" r:id="rId6"/>
  </sheets>
  <definedNames>
    <definedName name="_xlnm._FilterDatabase" localSheetId="3" hidden="1">'VENTAS_NOV_DIC _2024'!$A$1:$K$252</definedName>
    <definedName name="Z_D112E6FF_23C0_4F92_B6B5_49837EB87CE5_.wvu.FilterData" localSheetId="2" hidden="1">VENTAS_2025!$A$1:$M$492</definedName>
  </definedNames>
  <calcPr calcId="191029"/>
  <customWorkbookViews>
    <customWorkbookView name="Filtro 1" guid="{D112E6FF-23C0-4F92-B6B5-49837EB87CE5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8" l="1"/>
  <c r="C2" i="8"/>
  <c r="N105" i="6"/>
  <c r="D85" i="6"/>
  <c r="D72" i="6"/>
  <c r="H68" i="6"/>
  <c r="P28" i="6"/>
  <c r="C1001" i="3"/>
  <c r="J860" i="3"/>
  <c r="L835" i="3"/>
  <c r="J835" i="3"/>
  <c r="L834" i="3"/>
  <c r="J834" i="3"/>
  <c r="L832" i="3"/>
  <c r="J832" i="3"/>
  <c r="L831" i="3"/>
  <c r="J831" i="3"/>
  <c r="K807" i="3"/>
  <c r="L795" i="3"/>
  <c r="L751" i="3"/>
  <c r="J737" i="3"/>
  <c r="K735" i="3"/>
  <c r="L726" i="3"/>
  <c r="L692" i="3"/>
  <c r="K662" i="3"/>
  <c r="J661" i="3"/>
  <c r="K661" i="3" s="1"/>
  <c r="J645" i="3"/>
  <c r="K642" i="3"/>
  <c r="J642" i="3"/>
  <c r="J641" i="3"/>
  <c r="K551" i="3"/>
  <c r="K541" i="3"/>
  <c r="K536" i="3"/>
  <c r="K535" i="3"/>
  <c r="L504" i="3"/>
  <c r="J504" i="3"/>
  <c r="L443" i="3"/>
  <c r="K440" i="3"/>
  <c r="J395" i="3"/>
  <c r="K392" i="3"/>
  <c r="K391" i="3"/>
  <c r="J362" i="3"/>
  <c r="L344" i="3"/>
  <c r="J340" i="3"/>
  <c r="L301" i="3"/>
  <c r="K301" i="3"/>
  <c r="K299" i="3"/>
  <c r="L291" i="3"/>
  <c r="J286" i="3"/>
  <c r="L272" i="3"/>
  <c r="C255" i="3"/>
  <c r="J252" i="3"/>
  <c r="L249" i="3"/>
  <c r="L247" i="3"/>
  <c r="L246" i="3"/>
  <c r="L242" i="3"/>
  <c r="J242" i="3"/>
  <c r="L234" i="3"/>
  <c r="J231" i="3"/>
  <c r="L231" i="3" s="1"/>
  <c r="L204" i="3"/>
  <c r="L192" i="3"/>
  <c r="L180" i="3"/>
  <c r="C167" i="3"/>
  <c r="C164" i="3"/>
  <c r="L111" i="3"/>
  <c r="L45" i="3"/>
  <c r="G830" i="2"/>
  <c r="G829" i="2"/>
  <c r="G828" i="2"/>
  <c r="G827" i="2"/>
  <c r="G826" i="2"/>
  <c r="G825" i="2"/>
  <c r="F824" i="2"/>
  <c r="G824" i="2" s="1"/>
  <c r="G823" i="2"/>
  <c r="G822" i="2"/>
  <c r="G821" i="2"/>
  <c r="G820" i="2"/>
  <c r="G819" i="2"/>
  <c r="G818" i="2"/>
  <c r="G817" i="2"/>
  <c r="G816" i="2"/>
  <c r="G815" i="2"/>
  <c r="G814" i="2"/>
  <c r="G813" i="2"/>
  <c r="G812" i="2"/>
  <c r="G811" i="2"/>
  <c r="G810" i="2"/>
  <c r="G809" i="2"/>
  <c r="G808" i="2"/>
  <c r="G807" i="2"/>
  <c r="G806" i="2"/>
  <c r="G805" i="2"/>
  <c r="G804" i="2"/>
  <c r="G803" i="2"/>
  <c r="G802" i="2"/>
  <c r="G801" i="2"/>
  <c r="G800" i="2"/>
  <c r="G799" i="2"/>
  <c r="G798" i="2"/>
  <c r="G797" i="2"/>
  <c r="G796" i="2"/>
  <c r="F796" i="2"/>
  <c r="G795" i="2"/>
  <c r="G794" i="2"/>
  <c r="G793" i="2"/>
  <c r="G792" i="2"/>
  <c r="G791" i="2"/>
  <c r="G790" i="2"/>
  <c r="G789" i="2"/>
  <c r="F788" i="2"/>
  <c r="G788" i="2" s="1"/>
  <c r="G787" i="2"/>
  <c r="G786" i="2"/>
  <c r="F786" i="2"/>
  <c r="G785" i="2"/>
  <c r="G784" i="2"/>
  <c r="F784" i="2"/>
  <c r="F783" i="2"/>
  <c r="G783" i="2" s="1"/>
  <c r="G782" i="2"/>
  <c r="F782" i="2"/>
  <c r="G781" i="2"/>
  <c r="G780" i="2"/>
  <c r="G779" i="2"/>
  <c r="F779" i="2"/>
  <c r="F778" i="2"/>
  <c r="G778" i="2" s="1"/>
  <c r="G777" i="2"/>
  <c r="G776" i="2"/>
  <c r="G775" i="2"/>
  <c r="G774" i="2"/>
  <c r="G773" i="2"/>
  <c r="G772" i="2"/>
  <c r="G771" i="2"/>
  <c r="G770" i="2"/>
  <c r="G769" i="2"/>
  <c r="G768" i="2"/>
  <c r="G767" i="2"/>
  <c r="G766" i="2"/>
  <c r="G765" i="2"/>
  <c r="G764" i="2"/>
  <c r="F763" i="2"/>
  <c r="G763" i="2" s="1"/>
  <c r="G762" i="2"/>
  <c r="G761" i="2"/>
  <c r="G760" i="2"/>
  <c r="G759" i="2"/>
  <c r="G758" i="2"/>
  <c r="G757" i="2"/>
  <c r="G756" i="2"/>
  <c r="G755" i="2"/>
  <c r="G754" i="2"/>
  <c r="G753" i="2"/>
  <c r="G752" i="2"/>
  <c r="G751" i="2"/>
  <c r="G750" i="2"/>
  <c r="G749" i="2"/>
  <c r="G748" i="2"/>
  <c r="G747" i="2"/>
  <c r="G746" i="2"/>
  <c r="G745" i="2"/>
  <c r="G744" i="2"/>
  <c r="G743" i="2"/>
  <c r="G742" i="2"/>
  <c r="G741" i="2"/>
  <c r="G740" i="2"/>
  <c r="G739" i="2"/>
  <c r="G738" i="2"/>
  <c r="G737" i="2"/>
  <c r="G736" i="2"/>
  <c r="G735" i="2"/>
  <c r="G734" i="2"/>
  <c r="G733" i="2"/>
  <c r="G732" i="2"/>
  <c r="G731" i="2"/>
  <c r="G730" i="2"/>
  <c r="G729" i="2"/>
  <c r="G728" i="2"/>
  <c r="G727" i="2"/>
  <c r="G726" i="2"/>
  <c r="G725" i="2"/>
  <c r="G724" i="2"/>
  <c r="G723" i="2"/>
  <c r="G722" i="2"/>
  <c r="G721" i="2"/>
  <c r="G720" i="2"/>
  <c r="G719" i="2"/>
  <c r="G718" i="2"/>
  <c r="G717" i="2"/>
  <c r="G716" i="2"/>
  <c r="G715" i="2"/>
  <c r="G714" i="2"/>
  <c r="G713" i="2"/>
  <c r="G712" i="2"/>
  <c r="G711" i="2"/>
  <c r="G710" i="2"/>
  <c r="G709" i="2"/>
  <c r="G708" i="2"/>
  <c r="G707" i="2"/>
  <c r="G706" i="2"/>
  <c r="G705" i="2"/>
  <c r="G704" i="2"/>
  <c r="G703" i="2"/>
  <c r="G702" i="2"/>
  <c r="G701" i="2"/>
  <c r="G700" i="2"/>
  <c r="G699" i="2"/>
  <c r="G698" i="2"/>
  <c r="G697" i="2"/>
  <c r="G696" i="2"/>
  <c r="G695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F641" i="2"/>
  <c r="G641" i="2" s="1"/>
  <c r="G640" i="2"/>
  <c r="G639" i="2"/>
  <c r="F639" i="2"/>
  <c r="F638" i="2"/>
  <c r="G638" i="2" s="1"/>
  <c r="G637" i="2"/>
  <c r="F637" i="2"/>
  <c r="G636" i="2"/>
  <c r="G635" i="2"/>
  <c r="G634" i="2"/>
  <c r="F634" i="2"/>
  <c r="F633" i="2"/>
  <c r="G633" i="2" s="1"/>
  <c r="G632" i="2"/>
  <c r="G631" i="2"/>
  <c r="G630" i="2"/>
  <c r="G629" i="2"/>
  <c r="G628" i="2"/>
  <c r="G627" i="2"/>
  <c r="G626" i="2"/>
  <c r="G625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F612" i="2"/>
  <c r="G611" i="2"/>
  <c r="G610" i="2"/>
  <c r="G609" i="2"/>
  <c r="G608" i="2"/>
  <c r="G607" i="2"/>
  <c r="G606" i="2"/>
  <c r="G605" i="2"/>
  <c r="G604" i="2"/>
  <c r="G603" i="2"/>
  <c r="G602" i="2"/>
  <c r="G601" i="2"/>
  <c r="G600" i="2"/>
  <c r="G599" i="2"/>
  <c r="G598" i="2"/>
  <c r="G597" i="2"/>
  <c r="G596" i="2"/>
  <c r="G595" i="2"/>
  <c r="G594" i="2"/>
  <c r="G593" i="2"/>
  <c r="G592" i="2"/>
  <c r="G591" i="2"/>
  <c r="G590" i="2"/>
  <c r="G589" i="2"/>
  <c r="G588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5" i="2"/>
  <c r="G574" i="2"/>
  <c r="G573" i="2"/>
  <c r="G572" i="2"/>
  <c r="G571" i="2"/>
  <c r="G570" i="2"/>
  <c r="G569" i="2"/>
  <c r="G568" i="2"/>
  <c r="G567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F526" i="2"/>
  <c r="G526" i="2" s="1"/>
  <c r="G525" i="2"/>
  <c r="G524" i="2"/>
  <c r="G523" i="2"/>
  <c r="F522" i="2"/>
  <c r="G522" i="2" s="1"/>
  <c r="G521" i="2"/>
  <c r="G520" i="2"/>
  <c r="G519" i="2"/>
  <c r="F518" i="2"/>
  <c r="G518" i="2" s="1"/>
  <c r="G517" i="2"/>
  <c r="F516" i="2"/>
  <c r="G516" i="2" s="1"/>
  <c r="G515" i="2"/>
  <c r="F515" i="2"/>
  <c r="G514" i="2"/>
  <c r="F514" i="2"/>
  <c r="G513" i="2"/>
  <c r="G512" i="2"/>
  <c r="F511" i="2"/>
  <c r="G511" i="2" s="1"/>
  <c r="F510" i="2"/>
  <c r="G510" i="2" s="1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F402" i="2"/>
  <c r="G402" i="2" s="1"/>
  <c r="G401" i="2"/>
  <c r="F400" i="2"/>
  <c r="G400" i="2" s="1"/>
  <c r="G399" i="2"/>
  <c r="F399" i="2"/>
  <c r="F398" i="2"/>
  <c r="G398" i="2" s="1"/>
  <c r="G397" i="2"/>
  <c r="F397" i="2"/>
  <c r="G396" i="2"/>
  <c r="G395" i="2"/>
  <c r="G394" i="2"/>
  <c r="F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G371" i="2"/>
  <c r="G370" i="2"/>
  <c r="G369" i="2"/>
  <c r="G368" i="2"/>
  <c r="G367" i="2"/>
  <c r="G366" i="2"/>
  <c r="G365" i="2"/>
  <c r="G364" i="2"/>
  <c r="G363" i="2"/>
  <c r="G362" i="2"/>
  <c r="G361" i="2"/>
  <c r="G360" i="2"/>
  <c r="G359" i="2"/>
  <c r="G358" i="2"/>
  <c r="G357" i="2"/>
  <c r="G356" i="2"/>
  <c r="G355" i="2"/>
  <c r="G354" i="2"/>
  <c r="G353" i="2"/>
  <c r="G352" i="2"/>
  <c r="G351" i="2"/>
  <c r="G350" i="2"/>
  <c r="G349" i="2"/>
  <c r="G348" i="2"/>
  <c r="G347" i="2"/>
  <c r="G346" i="2"/>
  <c r="G345" i="2"/>
  <c r="G344" i="2"/>
  <c r="G343" i="2"/>
  <c r="G342" i="2"/>
  <c r="G341" i="2"/>
  <c r="G340" i="2"/>
  <c r="G339" i="2"/>
  <c r="G338" i="2"/>
  <c r="G337" i="2"/>
  <c r="G336" i="2"/>
  <c r="G335" i="2"/>
  <c r="G334" i="2"/>
  <c r="G333" i="2"/>
  <c r="G332" i="2"/>
  <c r="G331" i="2"/>
  <c r="G330" i="2"/>
  <c r="G329" i="2"/>
  <c r="G328" i="2"/>
  <c r="G327" i="2"/>
  <c r="G326" i="2"/>
  <c r="G325" i="2"/>
  <c r="G324" i="2"/>
  <c r="G323" i="2"/>
  <c r="G322" i="2"/>
  <c r="G321" i="2"/>
  <c r="G320" i="2"/>
  <c r="G319" i="2"/>
  <c r="G318" i="2"/>
  <c r="G317" i="2"/>
  <c r="G316" i="2"/>
  <c r="G315" i="2"/>
  <c r="G314" i="2"/>
  <c r="G313" i="2"/>
  <c r="G312" i="2"/>
  <c r="G311" i="2"/>
  <c r="G310" i="2"/>
  <c r="G309" i="2"/>
  <c r="F309" i="2"/>
  <c r="G308" i="2"/>
  <c r="G307" i="2"/>
  <c r="G306" i="2"/>
  <c r="G305" i="2"/>
  <c r="F304" i="2"/>
  <c r="G304" i="2" s="1"/>
  <c r="G303" i="2"/>
  <c r="G302" i="2"/>
  <c r="G301" i="2"/>
  <c r="G300" i="2"/>
  <c r="G299" i="2"/>
  <c r="F299" i="2"/>
  <c r="G298" i="2"/>
  <c r="G297" i="2"/>
  <c r="G296" i="2"/>
  <c r="G295" i="2"/>
  <c r="G294" i="2"/>
  <c r="G293" i="2"/>
  <c r="G292" i="2"/>
  <c r="G291" i="2"/>
  <c r="G290" i="2"/>
  <c r="G289" i="2"/>
  <c r="G288" i="2"/>
  <c r="G287" i="2"/>
  <c r="G286" i="2"/>
  <c r="G285" i="2"/>
  <c r="G284" i="2"/>
  <c r="G283" i="2"/>
  <c r="G282" i="2"/>
  <c r="G281" i="2"/>
  <c r="G280" i="2"/>
  <c r="G279" i="2"/>
  <c r="G278" i="2"/>
  <c r="G277" i="2"/>
  <c r="G276" i="2"/>
  <c r="G275" i="2"/>
  <c r="G274" i="2"/>
  <c r="G273" i="2"/>
  <c r="G272" i="2"/>
  <c r="G271" i="2"/>
  <c r="G270" i="2"/>
  <c r="G269" i="2"/>
  <c r="G268" i="2"/>
  <c r="G267" i="2"/>
  <c r="G266" i="2"/>
  <c r="G265" i="2"/>
  <c r="G264" i="2"/>
  <c r="G263" i="2"/>
  <c r="G262" i="2"/>
  <c r="G261" i="2"/>
  <c r="G260" i="2"/>
  <c r="G259" i="2"/>
  <c r="G258" i="2"/>
  <c r="G257" i="2"/>
  <c r="G256" i="2"/>
  <c r="G255" i="2"/>
  <c r="G254" i="2"/>
  <c r="G253" i="2"/>
  <c r="G252" i="2"/>
  <c r="G251" i="2"/>
  <c r="G250" i="2"/>
  <c r="G249" i="2"/>
  <c r="G248" i="2"/>
  <c r="G247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4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87" i="2"/>
  <c r="G32" i="2"/>
  <c r="G31" i="2"/>
  <c r="G30" i="2"/>
  <c r="G29" i="2"/>
  <c r="G28" i="2"/>
  <c r="G27" i="2"/>
  <c r="G26" i="2"/>
  <c r="G25" i="2"/>
  <c r="D952" i="1"/>
  <c r="B369" i="1"/>
</calcChain>
</file>

<file path=xl/sharedStrings.xml><?xml version="1.0" encoding="utf-8"?>
<sst xmlns="http://schemas.openxmlformats.org/spreadsheetml/2006/main" count="12490" uniqueCount="3109">
  <si>
    <t xml:space="preserve">MONTO Soles </t>
  </si>
  <si>
    <t>gaseosa</t>
  </si>
  <si>
    <t>Plumones, lapiceros y cinta para oficina</t>
  </si>
  <si>
    <t>Cuaderno</t>
  </si>
  <si>
    <t>Gaseosa y almuerzo</t>
  </si>
  <si>
    <t>Plumones</t>
  </si>
  <si>
    <t>Insumos</t>
  </si>
  <si>
    <t>Polos Operarios</t>
  </si>
  <si>
    <t>Pago Ricardo</t>
  </si>
  <si>
    <t>Almuerzo y gaseosa</t>
  </si>
  <si>
    <t>Pago Jose</t>
  </si>
  <si>
    <t>Pago Kevin</t>
  </si>
  <si>
    <t>Devolución</t>
  </si>
  <si>
    <t>Gaseosa</t>
  </si>
  <si>
    <t>-</t>
  </si>
  <si>
    <t>FECHA</t>
  </si>
  <si>
    <t>CANTIDAD</t>
  </si>
  <si>
    <t>TIPO DE SERVICIO Especifico</t>
  </si>
  <si>
    <t>TIPO DE SERVICIO General</t>
  </si>
  <si>
    <t>DESCRIPCIÓN</t>
  </si>
  <si>
    <t>COSTO x Uni</t>
  </si>
  <si>
    <t>MONTO TOTAL</t>
  </si>
  <si>
    <t>Colchón</t>
  </si>
  <si>
    <t>Limpieza</t>
  </si>
  <si>
    <t>compra lejia color</t>
  </si>
  <si>
    <t>Medicamento</t>
  </si>
  <si>
    <t xml:space="preserve">BETTY </t>
  </si>
  <si>
    <t>Abogados</t>
  </si>
  <si>
    <t>Cristina consulta de 390</t>
  </si>
  <si>
    <t>insumos</t>
  </si>
  <si>
    <t>Cristina consulta de 250</t>
  </si>
  <si>
    <t>Empresa</t>
  </si>
  <si>
    <t>PAPEL TOALLA</t>
  </si>
  <si>
    <t>Pisos</t>
  </si>
  <si>
    <t>Insumos de Jonny</t>
  </si>
  <si>
    <t>Cocina</t>
  </si>
  <si>
    <t xml:space="preserve">Vinagres </t>
  </si>
  <si>
    <t>Refrigerio</t>
  </si>
  <si>
    <t>Compra insumos de piso</t>
  </si>
  <si>
    <t>consulta abogado 390</t>
  </si>
  <si>
    <t>Clases</t>
  </si>
  <si>
    <t xml:space="preserve">PAGO ALFO </t>
  </si>
  <si>
    <t xml:space="preserve">COMPRA INSUMOS LIMPIEZA </t>
  </si>
  <si>
    <t xml:space="preserve">2 pasaje </t>
  </si>
  <si>
    <t>dollar city</t>
  </si>
  <si>
    <t>comora binner pisos</t>
  </si>
  <si>
    <t>pads joni</t>
  </si>
  <si>
    <t xml:space="preserve">champu de muebles </t>
  </si>
  <si>
    <t>Pago AFP (incluye Essalud)</t>
  </si>
  <si>
    <t>Pago ONP (incluye Essalud)</t>
  </si>
  <si>
    <t>Banahosting - Hosting</t>
  </si>
  <si>
    <t>Namecheap - Hosting</t>
  </si>
  <si>
    <t>Sered - Hosting</t>
  </si>
  <si>
    <t>Nicalia - Hosting</t>
  </si>
  <si>
    <t>Imunify - Antivirus para Hosting</t>
  </si>
  <si>
    <t>Personal Marketing</t>
  </si>
  <si>
    <t>Marketing</t>
  </si>
  <si>
    <t>Pago a Camila</t>
  </si>
  <si>
    <t>gaseosa/bocaditos/bizcochos</t>
  </si>
  <si>
    <t>gaseosa/kekes</t>
  </si>
  <si>
    <t>Personal Limpieza</t>
  </si>
  <si>
    <t>Jose/ Ricardo/ Jeremy</t>
  </si>
  <si>
    <t>Ricardo</t>
  </si>
  <si>
    <t>Jhony - visita técnica</t>
  </si>
  <si>
    <t>Abogada Jenireth Cristina</t>
  </si>
  <si>
    <t>Sr Rosa</t>
  </si>
  <si>
    <t>José Urbina</t>
  </si>
  <si>
    <t>Jorge Fernandez  (clases)</t>
  </si>
  <si>
    <t>Katherine Cristobal</t>
  </si>
  <si>
    <t>René Shampoo</t>
  </si>
  <si>
    <t>Salud Brayan</t>
  </si>
  <si>
    <t>Abogado Labor Molina</t>
  </si>
  <si>
    <t>Carbon para maq. aspiradora</t>
  </si>
  <si>
    <t>Reparaciones</t>
  </si>
  <si>
    <t>Reparación Jefer (BK cowork)</t>
  </si>
  <si>
    <t>Farmacéutica Betty</t>
  </si>
  <si>
    <t>Rueda para aspiradora</t>
  </si>
  <si>
    <t>Visita técnica Jhonny</t>
  </si>
  <si>
    <t>Insumos Jhonny (minipads)</t>
  </si>
  <si>
    <t>Personal Ventas</t>
  </si>
  <si>
    <t>Olga (ventas)</t>
  </si>
  <si>
    <t>Navid (ventas)</t>
  </si>
  <si>
    <t>Jesús (mantenimiento)</t>
  </si>
  <si>
    <t>Rosa (mantenimiento)</t>
  </si>
  <si>
    <t>Google Ads</t>
  </si>
  <si>
    <t>Insumos de limpieza</t>
  </si>
  <si>
    <t>Ventilador/mascarilla</t>
  </si>
  <si>
    <t>Profesor Jackson Rojo</t>
  </si>
  <si>
    <t>Servicios de Jhonny Nalvarte</t>
  </si>
  <si>
    <t>Adelanto de Brayan</t>
  </si>
  <si>
    <t>02 plumones negros</t>
  </si>
  <si>
    <t>Abogado David Molina</t>
  </si>
  <si>
    <t>Insumos de Jhonny</t>
  </si>
  <si>
    <t>Insumos (Sellador)</t>
  </si>
  <si>
    <t>PLumones</t>
  </si>
  <si>
    <t>Pago local</t>
  </si>
  <si>
    <t>Soldimix</t>
  </si>
  <si>
    <t>Operario Carla</t>
  </si>
  <si>
    <t>6 galones de lejía</t>
  </si>
  <si>
    <t>Operario José Urbina</t>
  </si>
  <si>
    <t xml:space="preserve"> Operario Luis Miguel</t>
  </si>
  <si>
    <t>Pasajes Jesus y Luis MIguel</t>
  </si>
  <si>
    <t>Pastillas Navid</t>
  </si>
  <si>
    <t>Accesorio de pato para aspiradora</t>
  </si>
  <si>
    <t>Operario Noemí</t>
  </si>
  <si>
    <t>Betty (voriconazol 4 und)</t>
  </si>
  <si>
    <t>Insumos: Binners y otros</t>
  </si>
  <si>
    <t>Ventilador</t>
  </si>
  <si>
    <t>Katherine Cristóbal (clases)</t>
  </si>
  <si>
    <t>Juan Carlos (operario)</t>
  </si>
  <si>
    <t>Binner sellador</t>
  </si>
  <si>
    <t>Impresiones</t>
  </si>
  <si>
    <t>Bocadistos, gaseosa (para Luis)</t>
  </si>
  <si>
    <t>Pago José</t>
  </si>
  <si>
    <t>02 mascarillas</t>
  </si>
  <si>
    <t>Lejía</t>
  </si>
  <si>
    <t>Idroo</t>
  </si>
  <si>
    <t>Indeed</t>
  </si>
  <si>
    <t>Adobe</t>
  </si>
  <si>
    <t>Test Gorilla</t>
  </si>
  <si>
    <t>Chat Gtp</t>
  </si>
  <si>
    <t>Gemini</t>
  </si>
  <si>
    <t>Sueldo Marco</t>
  </si>
  <si>
    <t>Taxis</t>
  </si>
  <si>
    <t>TAXIS FEBRERO</t>
  </si>
  <si>
    <t>Bocadistos, gaseosa</t>
  </si>
  <si>
    <t>Pago del personal</t>
  </si>
  <si>
    <t>S/.11,189.30</t>
  </si>
  <si>
    <t>S/.11,189.31</t>
  </si>
  <si>
    <t>Lejía galon sapolio</t>
  </si>
  <si>
    <t>Lejía color Sapolio Galón</t>
  </si>
  <si>
    <t>Bolsa 140 lt trapeado</t>
  </si>
  <si>
    <t>Trapeador microfibr</t>
  </si>
  <si>
    <t>Quitasarro galón</t>
  </si>
  <si>
    <t>Cera galón</t>
  </si>
  <si>
    <t>Guantes nitrilo</t>
  </si>
  <si>
    <t>Masking</t>
  </si>
  <si>
    <t>Remov Piso</t>
  </si>
  <si>
    <t>Sellador B</t>
  </si>
  <si>
    <t>Brocha</t>
  </si>
  <si>
    <t>Rempis Binner</t>
  </si>
  <si>
    <t>Yoni removedor americano</t>
  </si>
  <si>
    <t>Devolución a Jesús</t>
  </si>
  <si>
    <t>pastillas Diana</t>
  </si>
  <si>
    <t>Arreglo laptop</t>
  </si>
  <si>
    <t>Minipad (15 verdes, 15 marrones y 15 negros)</t>
  </si>
  <si>
    <t>Bocaditos para el compartir</t>
  </si>
  <si>
    <t>insumos para pisos</t>
  </si>
  <si>
    <t>microfib</t>
  </si>
  <si>
    <t>Legia color galon</t>
  </si>
  <si>
    <t>Legía galón</t>
  </si>
  <si>
    <t>Esponja</t>
  </si>
  <si>
    <t>Libre Enjuague</t>
  </si>
  <si>
    <t>Aldo</t>
  </si>
  <si>
    <t>Jorge Clases</t>
  </si>
  <si>
    <t>Devolución a Cliente</t>
  </si>
  <si>
    <t>agua para operarios</t>
  </si>
  <si>
    <t>pago a Noemi</t>
  </si>
  <si>
    <t>taxi Diana</t>
  </si>
  <si>
    <t>mascarillas</t>
  </si>
  <si>
    <t>Pago Luis Miguel</t>
  </si>
  <si>
    <t>Profesora Celia</t>
  </si>
  <si>
    <t>Lonche de ayer (dos queques y 2 quaquer)</t>
  </si>
  <si>
    <t>shampoo para muebles y colchones</t>
  </si>
  <si>
    <t>Pago señora Rosa</t>
  </si>
  <si>
    <t>Pago Jesús</t>
  </si>
  <si>
    <t>queques y gaseosa</t>
  </si>
  <si>
    <t>Insumo para muebles y pisos</t>
  </si>
  <si>
    <t>blister de voriconazol</t>
  </si>
  <si>
    <t xml:space="preserve">chema clea, mas </t>
  </si>
  <si>
    <t>pad marca americo</t>
  </si>
  <si>
    <t>Ceras negras</t>
  </si>
  <si>
    <t>hamburguesa</t>
  </si>
  <si>
    <t>Profesor Jorge Fernandez</t>
  </si>
  <si>
    <t>Local</t>
  </si>
  <si>
    <t>Rituximab</t>
  </si>
  <si>
    <t>Torta</t>
  </si>
  <si>
    <t>cera</t>
  </si>
  <si>
    <t>removedor pisos</t>
  </si>
  <si>
    <t>pads para pisos</t>
  </si>
  <si>
    <t>Comisión Mario</t>
  </si>
  <si>
    <t>Profesora Katherine</t>
  </si>
  <si>
    <t>Profesora Lizbeth</t>
  </si>
  <si>
    <t>pad blanco y rojo grande</t>
  </si>
  <si>
    <t>reparación de aspiradoras</t>
  </si>
  <si>
    <t>/</t>
  </si>
  <si>
    <t>Pastillas para Luis Miguel</t>
  </si>
  <si>
    <t>Lejia color galon sapolio</t>
  </si>
  <si>
    <t>Lejia galon sapolio</t>
  </si>
  <si>
    <t>suavitel doypack</t>
  </si>
  <si>
    <t>silicona cuero spray</t>
  </si>
  <si>
    <t>soda caustica</t>
  </si>
  <si>
    <t>TAXIS MARZO</t>
  </si>
  <si>
    <t>Hosting</t>
  </si>
  <si>
    <t>IA</t>
  </si>
  <si>
    <t>Pago a Truly</t>
  </si>
  <si>
    <t>Pago Mario</t>
  </si>
  <si>
    <t>Pago Saul</t>
  </si>
  <si>
    <t>Pago Navid</t>
  </si>
  <si>
    <t>Pago Diana</t>
  </si>
  <si>
    <t>Pago Ever</t>
  </si>
  <si>
    <t>Pago Rosa</t>
  </si>
  <si>
    <t>Pago Harumi</t>
  </si>
  <si>
    <t>Pastillas y Frutiflex para Ever</t>
  </si>
  <si>
    <t>Pago de Celulares</t>
  </si>
  <si>
    <t>Baño</t>
  </si>
  <si>
    <t>Aroma spray sapolio</t>
  </si>
  <si>
    <t>Premio spray lavanda</t>
  </si>
  <si>
    <t>Limpiatodo dkasa Galon</t>
  </si>
  <si>
    <t>Lavavajilla ayudin</t>
  </si>
  <si>
    <t>Cera Balde tekno pasta</t>
  </si>
  <si>
    <t>Trapeador Microfibra</t>
  </si>
  <si>
    <t>Escoba</t>
  </si>
  <si>
    <t>Paño microfibra</t>
  </si>
  <si>
    <t>Esponja Carmelita</t>
  </si>
  <si>
    <t>Insumos de Pisos</t>
  </si>
  <si>
    <t>Bolsas</t>
  </si>
  <si>
    <t>Pad Marrón de 17 pulgadas</t>
  </si>
  <si>
    <t>Minipad marrón</t>
  </si>
  <si>
    <t>Restaurador de arañazos en madera</t>
  </si>
  <si>
    <t>Profesor Wilmer</t>
  </si>
  <si>
    <t>Profesora Melisa</t>
  </si>
  <si>
    <t>Insumo para pisos</t>
  </si>
  <si>
    <t>6 bolsas</t>
  </si>
  <si>
    <t>Pasaje para insumos</t>
  </si>
  <si>
    <t>Pago Juan Carlos</t>
  </si>
  <si>
    <t>Visita técnica de fachada a Jorge</t>
  </si>
  <si>
    <t>Pago al Contador</t>
  </si>
  <si>
    <t xml:space="preserve">Pad rojo y blanco </t>
  </si>
  <si>
    <t>Minipad de 3 pulgadas</t>
  </si>
  <si>
    <t xml:space="preserve">Rituximab 500mg </t>
  </si>
  <si>
    <t>Voriconazol</t>
  </si>
  <si>
    <t>Gaseosa y pasaje para insumos</t>
  </si>
  <si>
    <t>Binner remover</t>
  </si>
  <si>
    <t>Chema remover</t>
  </si>
  <si>
    <t>Fotochecks</t>
  </si>
  <si>
    <t>Sacagrasas galon</t>
  </si>
  <si>
    <t xml:space="preserve">Quitagrasa galon </t>
  </si>
  <si>
    <t>Paño Microfibra</t>
  </si>
  <si>
    <t>Libre enjuague suavitel</t>
  </si>
  <si>
    <t>Detergente doffy</t>
  </si>
  <si>
    <t>Esponja 2 en 1 Dkasa</t>
  </si>
  <si>
    <t>Bolsa 26x</t>
  </si>
  <si>
    <t xml:space="preserve">Lejiia Galon sapolio </t>
  </si>
  <si>
    <t>Removedor piso madera  laminado</t>
  </si>
  <si>
    <t>Pico de pato para aspiradora</t>
  </si>
  <si>
    <t>trastuzumab</t>
  </si>
  <si>
    <t>Profesor Brandon Bolívar</t>
  </si>
  <si>
    <t>Pago Ruth</t>
  </si>
  <si>
    <t>Reparación para la laptop de ventas</t>
  </si>
  <si>
    <t>Pago Daniela</t>
  </si>
  <si>
    <t>Pago Camila</t>
  </si>
  <si>
    <t>Inmueble</t>
  </si>
  <si>
    <t>Mueble</t>
  </si>
  <si>
    <t>Diseño</t>
  </si>
  <si>
    <t>TAXIS ABRIL</t>
  </si>
  <si>
    <t>Contador</t>
  </si>
  <si>
    <t xml:space="preserve">Trapeador microfibra </t>
  </si>
  <si>
    <t>Suavitel doypack</t>
  </si>
  <si>
    <t>Limpia inodoro wc</t>
  </si>
  <si>
    <t>Guantes verde nitrilo</t>
  </si>
  <si>
    <t>wc frasco inodoro</t>
  </si>
  <si>
    <t>Cif crema frasco</t>
  </si>
  <si>
    <t>Paño x 4 unid microfibra</t>
  </si>
  <si>
    <t>Trapeador microfibra</t>
  </si>
  <si>
    <t>Suscripcion de autoresponder.ai</t>
  </si>
  <si>
    <t xml:space="preserve">Voriconazol </t>
  </si>
  <si>
    <t>Pago Erika</t>
  </si>
  <si>
    <t>Profesor Miguel Pareja</t>
  </si>
  <si>
    <t>Profesor Martin</t>
  </si>
  <si>
    <t>Cuaderno para Visitas</t>
  </si>
  <si>
    <t>Resina Negra</t>
  </si>
  <si>
    <t>Alambrado</t>
  </si>
  <si>
    <t>Esponja viruta</t>
  </si>
  <si>
    <t xml:space="preserve">bolsa liso </t>
  </si>
  <si>
    <t>Antihongos sapolio</t>
  </si>
  <si>
    <t>Frasco wc inodoro</t>
  </si>
  <si>
    <t>Frasco x 2 litros</t>
  </si>
  <si>
    <t>Soda caustica</t>
  </si>
  <si>
    <t>Quitasarro galon</t>
  </si>
  <si>
    <t>Limpiezalia</t>
  </si>
  <si>
    <t>Chema Remover</t>
  </si>
  <si>
    <t>TAXIS MAYO</t>
  </si>
  <si>
    <t>Alfombra</t>
  </si>
  <si>
    <t>Ventanas</t>
  </si>
  <si>
    <t>Pago Isabella</t>
  </si>
  <si>
    <t>Pago Andrea</t>
  </si>
  <si>
    <t>Claude</t>
  </si>
  <si>
    <t>Beneficios Sociales</t>
  </si>
  <si>
    <t>Ideogram</t>
  </si>
  <si>
    <t>MidJourney</t>
  </si>
  <si>
    <t>temozolamida</t>
  </si>
  <si>
    <t>Profesor Leonardo</t>
  </si>
  <si>
    <t xml:space="preserve">Trastuzumab </t>
  </si>
  <si>
    <t>Psicologo</t>
  </si>
  <si>
    <t>Psicologa Ysabel</t>
  </si>
  <si>
    <t>voriconazol</t>
  </si>
  <si>
    <t>Profesor Luis Angel</t>
  </si>
  <si>
    <t>Reparación de sillas</t>
  </si>
  <si>
    <t xml:space="preserve">Guantes nitrilo </t>
  </si>
  <si>
    <t>Bolsa Mascarilla</t>
  </si>
  <si>
    <t>Limpia vidrio galon</t>
  </si>
  <si>
    <t>Esponja Carmelita alambrado</t>
  </si>
  <si>
    <t>Pads grandes</t>
  </si>
  <si>
    <t>Capecitabina</t>
  </si>
  <si>
    <t>Dominios .com y .net etc</t>
  </si>
  <si>
    <t>Dominios .online</t>
  </si>
  <si>
    <t>Kaspersky Antivirus</t>
  </si>
  <si>
    <t>Operario Noemí y Ana</t>
  </si>
  <si>
    <t>TAXIS JUNIO</t>
  </si>
  <si>
    <t>Ciclofosfamida 1g</t>
  </si>
  <si>
    <t>Plumones de pizarra</t>
  </si>
  <si>
    <t>Pago Luis Angel</t>
  </si>
  <si>
    <t>Pago Romina</t>
  </si>
  <si>
    <t>Trapiador</t>
  </si>
  <si>
    <t>Carmelita</t>
  </si>
  <si>
    <t>Esponja Fierro</t>
  </si>
  <si>
    <t>Sacagrasa galon</t>
  </si>
  <si>
    <t>Detergente 4 kilo</t>
  </si>
  <si>
    <t>Silicona de cuero</t>
  </si>
  <si>
    <t>Bolsas 26/40</t>
  </si>
  <si>
    <t>Caja de guantes</t>
  </si>
  <si>
    <t>Limpia Vidirio</t>
  </si>
  <si>
    <t>Almuerzo Operarios</t>
  </si>
  <si>
    <t>Filgastrim</t>
  </si>
  <si>
    <t>Liquidación Rosa</t>
  </si>
  <si>
    <t>Profesor leonardo</t>
  </si>
  <si>
    <t>Mini pads</t>
  </si>
  <si>
    <t>Pago Massoni</t>
  </si>
  <si>
    <t>Folder</t>
  </si>
  <si>
    <t>Pago Yessenia</t>
  </si>
  <si>
    <t>Lejía color mediana</t>
  </si>
  <si>
    <t>Lejia color galon</t>
  </si>
  <si>
    <t>Lejia galon</t>
  </si>
  <si>
    <t>Baños</t>
  </si>
  <si>
    <t>WC Sapolio</t>
  </si>
  <si>
    <t>Soda Caustica</t>
  </si>
  <si>
    <t>Suavitel</t>
  </si>
  <si>
    <t>Lustra Muebles Aerosol</t>
  </si>
  <si>
    <t>galon de quitagrasa</t>
  </si>
  <si>
    <t>Cif crema</t>
  </si>
  <si>
    <t>Galon aroma</t>
  </si>
  <si>
    <t>Esponja Carmelita plancha</t>
  </si>
  <si>
    <t>Trapo chico microfibra docena</t>
  </si>
  <si>
    <t>Asesoria</t>
  </si>
  <si>
    <t>Profesor Omar</t>
  </si>
  <si>
    <t>Penalidad Taxi</t>
  </si>
  <si>
    <t>Pastillas Luis</t>
  </si>
  <si>
    <t>Abogado Navid</t>
  </si>
  <si>
    <t>Adelando Daniela</t>
  </si>
  <si>
    <t>Pollo Compartir</t>
  </si>
  <si>
    <t>Maquina Aspiradora</t>
  </si>
  <si>
    <t>Shampoo</t>
  </si>
  <si>
    <t>Taxi para materiales</t>
  </si>
  <si>
    <t>Pico Pato</t>
  </si>
  <si>
    <t>Pago Gloria</t>
  </si>
  <si>
    <t>Pago Kaylor</t>
  </si>
  <si>
    <t>Pago Yahaira</t>
  </si>
  <si>
    <t>Pago Mauricio</t>
  </si>
  <si>
    <t>Pago Jose Palacio</t>
  </si>
  <si>
    <t>Taxis JULIO</t>
  </si>
  <si>
    <t>Pago Gabi</t>
  </si>
  <si>
    <t>Oficina</t>
  </si>
  <si>
    <t>Perforadores</t>
  </si>
  <si>
    <t>Engrapadores</t>
  </si>
  <si>
    <t>Lapiceros</t>
  </si>
  <si>
    <t>Grapas</t>
  </si>
  <si>
    <t>Resaltadores</t>
  </si>
  <si>
    <t>Limpiatipos</t>
  </si>
  <si>
    <t>Bidón de shampoo</t>
  </si>
  <si>
    <t>Fotocheck</t>
  </si>
  <si>
    <t>Lenalidomida</t>
  </si>
  <si>
    <t>Masking TA</t>
  </si>
  <si>
    <t>Sellador L</t>
  </si>
  <si>
    <t>Huincha</t>
  </si>
  <si>
    <t>Molsa tshi</t>
  </si>
  <si>
    <t>Pantalón</t>
  </si>
  <si>
    <t>Molsa reutilizable</t>
  </si>
  <si>
    <t>Rociador</t>
  </si>
  <si>
    <t>Cordel</t>
  </si>
  <si>
    <t>Taper</t>
  </si>
  <si>
    <t>Pasaje de compras</t>
  </si>
  <si>
    <t>Comida Oficina</t>
  </si>
  <si>
    <t>Materiales de oficinas</t>
  </si>
  <si>
    <t>Guantes</t>
  </si>
  <si>
    <t>Frasco Doypac</t>
  </si>
  <si>
    <t>Paños</t>
  </si>
  <si>
    <t>Jabón</t>
  </si>
  <si>
    <t>Carnet</t>
  </si>
  <si>
    <t>Tabla</t>
  </si>
  <si>
    <t>Torta Yahaira</t>
  </si>
  <si>
    <t>Bocaditos</t>
  </si>
  <si>
    <t>Paño Chico</t>
  </si>
  <si>
    <t>Trapo grande</t>
  </si>
  <si>
    <t>Aroma caja</t>
  </si>
  <si>
    <t>CI CIF</t>
  </si>
  <si>
    <t>Ambientador</t>
  </si>
  <si>
    <t>Mascarilla de plastico</t>
  </si>
  <si>
    <t>Posa Mouse</t>
  </si>
  <si>
    <t>Profesor Sebastían</t>
  </si>
  <si>
    <t>Pago Jose Urbina</t>
  </si>
  <si>
    <t>Pago Psicologa</t>
  </si>
  <si>
    <t>Gaseosa Operarios</t>
  </si>
  <si>
    <t>Pan con chicharrón para video</t>
  </si>
  <si>
    <t>Tabla de escribir</t>
  </si>
  <si>
    <t>Pago Jose Carlos</t>
  </si>
  <si>
    <t>Pago Luis Enrique</t>
  </si>
  <si>
    <t>Gaseosas y queques Operarios</t>
  </si>
  <si>
    <t>Comida para ventas</t>
  </si>
  <si>
    <t>Taxis AGOSTO</t>
  </si>
  <si>
    <t>Pago Xiomara</t>
  </si>
  <si>
    <t>Cumpleaños Gloria</t>
  </si>
  <si>
    <t>Google Ads Limpieza</t>
  </si>
  <si>
    <t>Google Ads Marketing</t>
  </si>
  <si>
    <t>Google Ads Clases</t>
  </si>
  <si>
    <t>Pizza para reconocimiento de ventas</t>
  </si>
  <si>
    <t>Taxis para compras Limpieza</t>
  </si>
  <si>
    <t>Frugo para operarios</t>
  </si>
  <si>
    <t>Pago a Jhony</t>
  </si>
  <si>
    <t>Borquitmc1.8</t>
  </si>
  <si>
    <t>Borquitmc930</t>
  </si>
  <si>
    <t>Taxi para insumos</t>
  </si>
  <si>
    <t>Lejia</t>
  </si>
  <si>
    <t>Lejia color</t>
  </si>
  <si>
    <t xml:space="preserve">Balde </t>
  </si>
  <si>
    <t>Premio Spray</t>
  </si>
  <si>
    <t>Premio Crema</t>
  </si>
  <si>
    <t>Pino Galón</t>
  </si>
  <si>
    <t>Taxi</t>
  </si>
  <si>
    <t>Jalador</t>
  </si>
  <si>
    <t>Tekno Renov Cera 4l</t>
  </si>
  <si>
    <t>Polo Manga</t>
  </si>
  <si>
    <t>Binner</t>
  </si>
  <si>
    <t>Reparación de Laptop</t>
  </si>
  <si>
    <t>CLIENTE</t>
  </si>
  <si>
    <t>TELEFONO</t>
  </si>
  <si>
    <t>EMPRESA</t>
  </si>
  <si>
    <t>MEDIO DE CONTACTO</t>
  </si>
  <si>
    <t>SERVICIO</t>
  </si>
  <si>
    <t>UBICACIÓN</t>
  </si>
  <si>
    <t>ANTICIPO</t>
  </si>
  <si>
    <t>RESTANTE</t>
  </si>
  <si>
    <t>TOTAL</t>
  </si>
  <si>
    <t>VENDEDOR</t>
  </si>
  <si>
    <t>RICARDO</t>
  </si>
  <si>
    <t>992 000 276</t>
  </si>
  <si>
    <t>Bien Tiza</t>
  </si>
  <si>
    <t>Pagina Web</t>
  </si>
  <si>
    <t xml:space="preserve">limpieza de moho </t>
  </si>
  <si>
    <t>Yetsica</t>
  </si>
  <si>
    <t>F</t>
  </si>
  <si>
    <t>ROCÍO</t>
  </si>
  <si>
    <t>965426023</t>
  </si>
  <si>
    <t>Limpezalia</t>
  </si>
  <si>
    <t>DOMÉSTICA</t>
  </si>
  <si>
    <t>devolucion</t>
  </si>
  <si>
    <t>GRECIA</t>
  </si>
  <si>
    <t>ANDRES</t>
  </si>
  <si>
    <t>945727771</t>
  </si>
  <si>
    <t>LIMPIEZA 198M2</t>
  </si>
  <si>
    <t>PAMELA</t>
  </si>
  <si>
    <t>956 771 599</t>
  </si>
  <si>
    <t>Bandera Profesor de Matemáticas en Lima</t>
  </si>
  <si>
    <t>Clase modelo</t>
  </si>
  <si>
    <t>CLASE</t>
  </si>
  <si>
    <t>JEYA</t>
  </si>
  <si>
    <t>982 496 820</t>
  </si>
  <si>
    <t>Apu Abogados</t>
  </si>
  <si>
    <t>CONSULTA</t>
  </si>
  <si>
    <t xml:space="preserve">sandra </t>
  </si>
  <si>
    <t>944 184 952</t>
  </si>
  <si>
    <t xml:space="preserve">Domestica 5 horas </t>
  </si>
  <si>
    <t>cinthya</t>
  </si>
  <si>
    <t>913 741 010</t>
  </si>
  <si>
    <t xml:space="preserve">lavado de mueble </t>
  </si>
  <si>
    <t>fabiola</t>
  </si>
  <si>
    <t>gianfranco</t>
  </si>
  <si>
    <t>991 049 285</t>
  </si>
  <si>
    <t>Deseo clic</t>
  </si>
  <si>
    <t>Carta + menu</t>
  </si>
  <si>
    <t>Cliente</t>
  </si>
  <si>
    <t>Noelia</t>
  </si>
  <si>
    <t>925 777 291</t>
  </si>
  <si>
    <t>Universidad en casa</t>
  </si>
  <si>
    <t>clase</t>
  </si>
  <si>
    <t>Jannet</t>
  </si>
  <si>
    <t>997 552 184</t>
  </si>
  <si>
    <t>Paquete de clases</t>
  </si>
  <si>
    <t>Paquete 10</t>
  </si>
  <si>
    <t>ERIKA</t>
  </si>
  <si>
    <t>966 701 223</t>
  </si>
  <si>
    <t xml:space="preserve">CLASE </t>
  </si>
  <si>
    <t>MELANY</t>
  </si>
  <si>
    <t>946 864 745</t>
  </si>
  <si>
    <t>Importa Medic</t>
  </si>
  <si>
    <t>VORICONAZOL</t>
  </si>
  <si>
    <t>LOURDES</t>
  </si>
  <si>
    <t>960317370</t>
  </si>
  <si>
    <t>Don Lavado de Muebles</t>
  </si>
  <si>
    <t>COLCHONES</t>
  </si>
  <si>
    <t>Ana</t>
  </si>
  <si>
    <t>967 280 227</t>
  </si>
  <si>
    <t>Dioses del Piso</t>
  </si>
  <si>
    <t>visita</t>
  </si>
  <si>
    <t>Liz</t>
  </si>
  <si>
    <t>987 382 034</t>
  </si>
  <si>
    <t>consulta</t>
  </si>
  <si>
    <t>mary</t>
  </si>
  <si>
    <t>965 393 901</t>
  </si>
  <si>
    <t>visita piso</t>
  </si>
  <si>
    <t xml:space="preserve">axel </t>
  </si>
  <si>
    <t>959806514</t>
  </si>
  <si>
    <t>limpieza fina</t>
  </si>
  <si>
    <t>MARTHA</t>
  </si>
  <si>
    <t>960 444 900</t>
  </si>
  <si>
    <t>COLCHON</t>
  </si>
  <si>
    <t>FABIOLA</t>
  </si>
  <si>
    <t>ELIANA</t>
  </si>
  <si>
    <t>970579736</t>
  </si>
  <si>
    <t>Llamada</t>
  </si>
  <si>
    <t>krissy</t>
  </si>
  <si>
    <t>1 (786) 774-2604</t>
  </si>
  <si>
    <t>Limpieza de Departamnetos Ya!</t>
  </si>
  <si>
    <t>Andres</t>
  </si>
  <si>
    <t>977 224 464</t>
  </si>
  <si>
    <t>clochón</t>
  </si>
  <si>
    <t>Visctor</t>
  </si>
  <si>
    <t>969 628 910</t>
  </si>
  <si>
    <t xml:space="preserve"> Alison </t>
  </si>
  <si>
    <t>975 225 663</t>
  </si>
  <si>
    <t>Mi Profe</t>
  </si>
  <si>
    <t>Clase</t>
  </si>
  <si>
    <t>rosita</t>
  </si>
  <si>
    <t>963 526 894</t>
  </si>
  <si>
    <t>994 443 293</t>
  </si>
  <si>
    <t>limpieza baño</t>
  </si>
  <si>
    <t>marco</t>
  </si>
  <si>
    <t>Limpieza de piso</t>
  </si>
  <si>
    <t>leslie</t>
  </si>
  <si>
    <t>995 842 204</t>
  </si>
  <si>
    <t xml:space="preserve">visita de casa </t>
  </si>
  <si>
    <t>ERIKA-ABRIL</t>
  </si>
  <si>
    <t>PAQUETE DE 10 HORAS</t>
  </si>
  <si>
    <t>alejandro</t>
  </si>
  <si>
    <t>44 7906 126377</t>
  </si>
  <si>
    <t>Consulta 390</t>
  </si>
  <si>
    <t>Olenka</t>
  </si>
  <si>
    <t>957 147 091</t>
  </si>
  <si>
    <t>MIGUEL</t>
  </si>
  <si>
    <t>955677429</t>
  </si>
  <si>
    <t>LIMPIEZA DE 17M2 PARQUET</t>
  </si>
  <si>
    <t>zoraya</t>
  </si>
  <si>
    <t>945 695 560</t>
  </si>
  <si>
    <t>logo</t>
  </si>
  <si>
    <t>OMAR</t>
  </si>
  <si>
    <t>991 573 363</t>
  </si>
  <si>
    <t>LIMPIEZA COLCHON</t>
  </si>
  <si>
    <t>alberto</t>
  </si>
  <si>
    <t>997890246</t>
  </si>
  <si>
    <t>visita de piso</t>
  </si>
  <si>
    <t>bruno</t>
  </si>
  <si>
    <t>991661429</t>
  </si>
  <si>
    <t>visita pis</t>
  </si>
  <si>
    <t>ariana</t>
  </si>
  <si>
    <t xml:space="preserve">juan carlos </t>
  </si>
  <si>
    <t>976 228 343</t>
  </si>
  <si>
    <t>renato</t>
  </si>
  <si>
    <t>lorena duran</t>
  </si>
  <si>
    <t>933692807</t>
  </si>
  <si>
    <t xml:space="preserve">Limpieza de mueble </t>
  </si>
  <si>
    <t>emma</t>
  </si>
  <si>
    <t>982746745</t>
  </si>
  <si>
    <t>limpieza al vapor</t>
  </si>
  <si>
    <t>Mariela</t>
  </si>
  <si>
    <t>990 631 575</t>
  </si>
  <si>
    <t xml:space="preserve">limpieza agresiva </t>
  </si>
  <si>
    <t>NORA</t>
  </si>
  <si>
    <t>999 914 773</t>
  </si>
  <si>
    <t xml:space="preserve">VISITA </t>
  </si>
  <si>
    <t>945 884 845</t>
  </si>
  <si>
    <t>limpieza</t>
  </si>
  <si>
    <t>tatiana</t>
  </si>
  <si>
    <t>958 262 440</t>
  </si>
  <si>
    <t>luis arriola</t>
  </si>
  <si>
    <t>972 819 566</t>
  </si>
  <si>
    <t xml:space="preserve">limpieza </t>
  </si>
  <si>
    <t>nelson-keisi</t>
  </si>
  <si>
    <t>921319402</t>
  </si>
  <si>
    <t>3 Honor Clase</t>
  </si>
  <si>
    <t xml:space="preserve">paquete de 16 horas </t>
  </si>
  <si>
    <t xml:space="preserve"> 934 911 208</t>
  </si>
  <si>
    <t>ondesatron</t>
  </si>
  <si>
    <t>libreria casa de papel</t>
  </si>
  <si>
    <t>942 978 394</t>
  </si>
  <si>
    <t>logo basico</t>
  </si>
  <si>
    <t>david ruiz</t>
  </si>
  <si>
    <t>998 264 926</t>
  </si>
  <si>
    <t>paquete 10 horas</t>
  </si>
  <si>
    <t>richard</t>
  </si>
  <si>
    <t xml:space="preserve"> 946 488 998</t>
  </si>
  <si>
    <t>Allison-gabriel</t>
  </si>
  <si>
    <t>957 374 566</t>
  </si>
  <si>
    <t>HUGO</t>
  </si>
  <si>
    <t>957 957 554</t>
  </si>
  <si>
    <t>LIMPIEZA MOHO</t>
  </si>
  <si>
    <t xml:space="preserve">Diego </t>
  </si>
  <si>
    <t>950 107 545</t>
  </si>
  <si>
    <t>KEVIN</t>
  </si>
  <si>
    <t>949360576</t>
  </si>
  <si>
    <t xml:space="preserve">VISITA DE PISO </t>
  </si>
  <si>
    <t xml:space="preserve">jose maria </t>
  </si>
  <si>
    <t>34 630 14 07 39</t>
  </si>
  <si>
    <t>paquete 30 horas 597$</t>
  </si>
  <si>
    <t xml:space="preserve">Factor inmobiliario </t>
  </si>
  <si>
    <t>921 289 010</t>
  </si>
  <si>
    <t>limpieza mueble</t>
  </si>
  <si>
    <t>GRUPO ALBOR</t>
  </si>
  <si>
    <t>954 485 899</t>
  </si>
  <si>
    <t>maribel</t>
  </si>
  <si>
    <t xml:space="preserve"> 990 931 200</t>
  </si>
  <si>
    <t>clase local</t>
  </si>
  <si>
    <t>GIOVANNA</t>
  </si>
  <si>
    <t>993 492 556</t>
  </si>
  <si>
    <t>VISITA</t>
  </si>
  <si>
    <t>Pamela</t>
  </si>
  <si>
    <t xml:space="preserve">2 clases presenciales. </t>
  </si>
  <si>
    <t>gabriela</t>
  </si>
  <si>
    <t>987 439 962</t>
  </si>
  <si>
    <t>limpieza profunda</t>
  </si>
  <si>
    <t>franklin</t>
  </si>
  <si>
    <t>83 503 033</t>
  </si>
  <si>
    <t>lavado al vapor</t>
  </si>
  <si>
    <t xml:space="preserve">gabriel </t>
  </si>
  <si>
    <t>987412911</t>
  </si>
  <si>
    <t xml:space="preserve">capecitabina </t>
  </si>
  <si>
    <t xml:space="preserve">cliente </t>
  </si>
  <si>
    <t xml:space="preserve">Yuleiska Pereira </t>
  </si>
  <si>
    <t>938861133</t>
  </si>
  <si>
    <t xml:space="preserve">Norbil - juana </t>
  </si>
  <si>
    <t>972 518 831</t>
  </si>
  <si>
    <t xml:space="preserve">PAQUETE DE 10 HORAS </t>
  </si>
  <si>
    <t>ricardo</t>
  </si>
  <si>
    <t>942 529 730</t>
  </si>
  <si>
    <t>2 horas 85 s</t>
  </si>
  <si>
    <t>paquete</t>
  </si>
  <si>
    <t>Marco</t>
  </si>
  <si>
    <t xml:space="preserve">camila chamarro </t>
  </si>
  <si>
    <t>52 1 993 385 1611</t>
  </si>
  <si>
    <t>paquete de 10 hora  217$</t>
  </si>
  <si>
    <t>gonzalo</t>
  </si>
  <si>
    <t>993 548 659</t>
  </si>
  <si>
    <t>viista de piso</t>
  </si>
  <si>
    <t>yetsica</t>
  </si>
  <si>
    <t>JORGE</t>
  </si>
  <si>
    <t>988966005</t>
  </si>
  <si>
    <t xml:space="preserve">limpieza DELICADO de mueble </t>
  </si>
  <si>
    <t>OSWALDO</t>
  </si>
  <si>
    <t>993 165 539</t>
  </si>
  <si>
    <t xml:space="preserve">LIMPIEZA AL VAPOR MUEBLE L </t>
  </si>
  <si>
    <t xml:space="preserve">YETSICA </t>
  </si>
  <si>
    <t>946 488 998</t>
  </si>
  <si>
    <t>paquete de 30 horas</t>
  </si>
  <si>
    <t>giovanna</t>
  </si>
  <si>
    <t>991 994 321</t>
  </si>
  <si>
    <t>diana</t>
  </si>
  <si>
    <t>915 086 452</t>
  </si>
  <si>
    <t>2 horas clase</t>
  </si>
  <si>
    <t xml:space="preserve">briana </t>
  </si>
  <si>
    <t>970 193 046</t>
  </si>
  <si>
    <t>2 horas clases presencial</t>
  </si>
  <si>
    <t>mirko</t>
  </si>
  <si>
    <t>916 191 258</t>
  </si>
  <si>
    <t xml:space="preserve">paquete de 10 horas </t>
  </si>
  <si>
    <t>sergio</t>
  </si>
  <si>
    <t>976 061 956</t>
  </si>
  <si>
    <t>karin-miranda</t>
  </si>
  <si>
    <t>999 465 917</t>
  </si>
  <si>
    <t>2 horas de 55s</t>
  </si>
  <si>
    <t>BETTY</t>
  </si>
  <si>
    <t>999 921 545</t>
  </si>
  <si>
    <t>LIMPIEza  AL VAPOR</t>
  </si>
  <si>
    <t xml:space="preserve">fanny </t>
  </si>
  <si>
    <t>959 114 254</t>
  </si>
  <si>
    <t>logo avanzado</t>
  </si>
  <si>
    <t>Elias Torpoco</t>
  </si>
  <si>
    <t>995 437 671</t>
  </si>
  <si>
    <t>Luis Dispositivos Médicos</t>
  </si>
  <si>
    <t>970 513 8</t>
  </si>
  <si>
    <t>pagina web</t>
  </si>
  <si>
    <t xml:space="preserve">ruth uniformes </t>
  </si>
  <si>
    <t>969 685 022</t>
  </si>
  <si>
    <t xml:space="preserve">diana </t>
  </si>
  <si>
    <t xml:space="preserve">2 pisos 1990+ 1890 </t>
  </si>
  <si>
    <t>ellie</t>
  </si>
  <si>
    <t>949 320 248</t>
  </si>
  <si>
    <t xml:space="preserve">limpieza delicado </t>
  </si>
  <si>
    <t>saulo botica</t>
  </si>
  <si>
    <t xml:space="preserve"> 971 390 793</t>
  </si>
  <si>
    <t>MAURICIO</t>
  </si>
  <si>
    <t xml:space="preserve"> 969 100 261</t>
  </si>
  <si>
    <t xml:space="preserve">maria </t>
  </si>
  <si>
    <t>923 199 389</t>
  </si>
  <si>
    <t xml:space="preserve">Christian Albirena </t>
  </si>
  <si>
    <t>976 593 622</t>
  </si>
  <si>
    <t xml:space="preserve">Andrea </t>
  </si>
  <si>
    <t>957 846 707</t>
  </si>
  <si>
    <t>clase 65h</t>
  </si>
  <si>
    <t>Julio Swayne</t>
  </si>
  <si>
    <t>999 950 594</t>
  </si>
  <si>
    <t>LAVADO COLCHON</t>
  </si>
  <si>
    <t xml:space="preserve">narda </t>
  </si>
  <si>
    <t>986 712 700</t>
  </si>
  <si>
    <t>95 h</t>
  </si>
  <si>
    <t>nayla</t>
  </si>
  <si>
    <t>943 091 648</t>
  </si>
  <si>
    <t>45 h</t>
  </si>
  <si>
    <t>nuevo</t>
  </si>
  <si>
    <t xml:space="preserve">ricardo </t>
  </si>
  <si>
    <t>852 6273 3551</t>
  </si>
  <si>
    <t xml:space="preserve">domestica </t>
  </si>
  <si>
    <t>CARLOS</t>
  </si>
  <si>
    <t>986 955 5</t>
  </si>
  <si>
    <t xml:space="preserve">visita </t>
  </si>
  <si>
    <t xml:space="preserve">SAMARA </t>
  </si>
  <si>
    <t>54 9 11 5135-5926</t>
  </si>
  <si>
    <t xml:space="preserve">25 $ 2  horas 50$ </t>
  </si>
  <si>
    <t>cliente</t>
  </si>
  <si>
    <t>pablo-cevicheria</t>
  </si>
  <si>
    <t>930 175 643</t>
  </si>
  <si>
    <t xml:space="preserve">ruth castro </t>
  </si>
  <si>
    <t xml:space="preserve"> 969 685 022</t>
  </si>
  <si>
    <t xml:space="preserve">noelia </t>
  </si>
  <si>
    <t>992 900 135</t>
  </si>
  <si>
    <t>jessica</t>
  </si>
  <si>
    <t>947 878 553</t>
  </si>
  <si>
    <t>Ventana</t>
  </si>
  <si>
    <t>limpieza ventanas</t>
  </si>
  <si>
    <t>940 210 219</t>
  </si>
  <si>
    <t>limpieza inodoro</t>
  </si>
  <si>
    <t xml:space="preserve">Antonio </t>
  </si>
  <si>
    <t>922 949 857</t>
  </si>
  <si>
    <t xml:space="preserve">Limpieza doméstica </t>
  </si>
  <si>
    <t>Navid</t>
  </si>
  <si>
    <t>Edgar Perez</t>
  </si>
  <si>
    <t>957374566</t>
  </si>
  <si>
    <t>Clase 1hr</t>
  </si>
  <si>
    <t>Cheli</t>
  </si>
  <si>
    <t>Jimmy Tuse</t>
  </si>
  <si>
    <t>DAvid Ruiz</t>
  </si>
  <si>
    <t>José De la Cruz</t>
  </si>
  <si>
    <t>998851724</t>
  </si>
  <si>
    <t>Lavado de muebles 3-2</t>
  </si>
  <si>
    <t>Carlos Valdeiglesias</t>
  </si>
  <si>
    <t>958487696</t>
  </si>
  <si>
    <t xml:space="preserve">Limpieza industrial </t>
  </si>
  <si>
    <t xml:space="preserve">Samara </t>
  </si>
  <si>
    <t>Bertha Félix</t>
  </si>
  <si>
    <t>990 346 635</t>
  </si>
  <si>
    <t xml:space="preserve">Limpieza profunda </t>
  </si>
  <si>
    <t>ERIC VILLEGAS</t>
  </si>
  <si>
    <t>946350674</t>
  </si>
  <si>
    <t>LIMPIEZA PROFUNDA</t>
  </si>
  <si>
    <t>PAQUETE DE 1O HORAS</t>
  </si>
  <si>
    <t>Diego García Sayan</t>
  </si>
  <si>
    <t>944263288</t>
  </si>
  <si>
    <t>Limpieza General profunda</t>
  </si>
  <si>
    <t>Olga</t>
  </si>
  <si>
    <t>Tula Illmann de Montoya</t>
  </si>
  <si>
    <t>947113925</t>
  </si>
  <si>
    <t xml:space="preserve">Limpieza domestica </t>
  </si>
  <si>
    <t>Alvaro Garcia</t>
  </si>
  <si>
    <t>954797315</t>
  </si>
  <si>
    <t>Mariana Sanchez</t>
  </si>
  <si>
    <t>Limpieza Semi-industrial</t>
  </si>
  <si>
    <t>Nayla</t>
  </si>
  <si>
    <t>Mría Mary González de Milla De Leó</t>
  </si>
  <si>
    <t>956387464</t>
  </si>
  <si>
    <t xml:space="preserve">Limpieza de muebles </t>
  </si>
  <si>
    <t>Cristian contreras</t>
  </si>
  <si>
    <t>978654638</t>
  </si>
  <si>
    <t>Emilia Maguiña</t>
  </si>
  <si>
    <t xml:space="preserve">FLor de Maria </t>
  </si>
  <si>
    <t>998359346</t>
  </si>
  <si>
    <t xml:space="preserve">Asesoría legal </t>
  </si>
  <si>
    <t>Ray</t>
  </si>
  <si>
    <t>938365078</t>
  </si>
  <si>
    <t>Jorge</t>
  </si>
  <si>
    <t xml:space="preserve">Doris Jeri </t>
  </si>
  <si>
    <t>968128751</t>
  </si>
  <si>
    <t xml:space="preserve">VISITA TECNICA </t>
  </si>
  <si>
    <t xml:space="preserve">Sr Oscar Colmenares </t>
  </si>
  <si>
    <t>981475991</t>
  </si>
  <si>
    <t>Sra Ivana Ferrer</t>
  </si>
  <si>
    <t>990188855</t>
  </si>
  <si>
    <t xml:space="preserve">Maria Cerron </t>
  </si>
  <si>
    <t>997342325</t>
  </si>
  <si>
    <t>Gina</t>
  </si>
  <si>
    <t>998311425</t>
  </si>
  <si>
    <t>katerine Miraval</t>
  </si>
  <si>
    <t>939349528</t>
  </si>
  <si>
    <t>Limpieza de mueblese</t>
  </si>
  <si>
    <t xml:space="preserve">Pablo Valdez </t>
  </si>
  <si>
    <t>91154721307</t>
  </si>
  <si>
    <t>Juan Mendoza</t>
  </si>
  <si>
    <t>Edwin Borja Córdova</t>
  </si>
  <si>
    <t>967778033</t>
  </si>
  <si>
    <t xml:space="preserve">Paul Juan de Dios </t>
  </si>
  <si>
    <t>986648567</t>
  </si>
  <si>
    <t xml:space="preserve">limpieza de refrigeradora </t>
  </si>
  <si>
    <t xml:space="preserve">Lila Paula Bendezu </t>
  </si>
  <si>
    <t>983999982</t>
  </si>
  <si>
    <t>limpieza de muebles y colchon</t>
  </si>
  <si>
    <t>Harley Gutierrez</t>
  </si>
  <si>
    <t>961599634</t>
  </si>
  <si>
    <t>Cliente de Janireth</t>
  </si>
  <si>
    <t>COnsulta</t>
  </si>
  <si>
    <t>Elva</t>
  </si>
  <si>
    <t>Luis Malaver</t>
  </si>
  <si>
    <t>Guiliana Rossi</t>
  </si>
  <si>
    <t>940670461</t>
  </si>
  <si>
    <t>visita tecnica + limpieza de piso</t>
  </si>
  <si>
    <t>Irven Burga</t>
  </si>
  <si>
    <t>978463733</t>
  </si>
  <si>
    <t xml:space="preserve">Elizabeth Ramos </t>
  </si>
  <si>
    <t>989879793</t>
  </si>
  <si>
    <t xml:space="preserve">Visita Técnica </t>
  </si>
  <si>
    <t>Alfredo Poemape</t>
  </si>
  <si>
    <t>949915555</t>
  </si>
  <si>
    <t xml:space="preserve">limpieza cocina y refrigerador </t>
  </si>
  <si>
    <t>Ana Luisa Sanguinetti</t>
  </si>
  <si>
    <t>999272222</t>
  </si>
  <si>
    <t xml:space="preserve">Visita tecnica </t>
  </si>
  <si>
    <t xml:space="preserve">Olga Paucar </t>
  </si>
  <si>
    <t>993962325</t>
  </si>
  <si>
    <t xml:space="preserve"> Geraldine castro</t>
  </si>
  <si>
    <t>987596151</t>
  </si>
  <si>
    <t xml:space="preserve">Limpieza de colchon </t>
  </si>
  <si>
    <t>Jannet Ricardi</t>
  </si>
  <si>
    <t>997 787 883</t>
  </si>
  <si>
    <t>Limpieza colchón</t>
  </si>
  <si>
    <t>Diana</t>
  </si>
  <si>
    <t>Andrea Pena</t>
  </si>
  <si>
    <t>Cliente de Marco</t>
  </si>
  <si>
    <t>Oscar Colmenares</t>
  </si>
  <si>
    <t>Piso madera + visita tecncia</t>
  </si>
  <si>
    <t>Alberto Cebreros Fernandez</t>
  </si>
  <si>
    <t>988595596</t>
  </si>
  <si>
    <t xml:space="preserve">limpieza domestica </t>
  </si>
  <si>
    <t>Giuliana Rossi</t>
  </si>
  <si>
    <t xml:space="preserve">limpieza de mueble </t>
  </si>
  <si>
    <t>Santiago</t>
  </si>
  <si>
    <t>989980440</t>
  </si>
  <si>
    <t>Valery</t>
  </si>
  <si>
    <t>Asesoría de monografía</t>
  </si>
  <si>
    <t>Cliente Marco</t>
  </si>
  <si>
    <t>Mary Luz Uribe</t>
  </si>
  <si>
    <t>933611196</t>
  </si>
  <si>
    <t>Visita tecnica</t>
  </si>
  <si>
    <t>virgilia Odebret López</t>
  </si>
  <si>
    <t xml:space="preserve">clorinda </t>
  </si>
  <si>
    <t>982518352</t>
  </si>
  <si>
    <t xml:space="preserve">limpieza de colchón </t>
  </si>
  <si>
    <t>Elisa Yvette Monzon</t>
  </si>
  <si>
    <t>987676999</t>
  </si>
  <si>
    <t>Medicamentos</t>
  </si>
  <si>
    <t>Elizabeth</t>
  </si>
  <si>
    <t>972508823</t>
  </si>
  <si>
    <t>Consulta</t>
  </si>
  <si>
    <t>José Rosas</t>
  </si>
  <si>
    <t>Visita técnica</t>
  </si>
  <si>
    <t>Dave</t>
  </si>
  <si>
    <t>964321419</t>
  </si>
  <si>
    <t>Limpieza doméstica</t>
  </si>
  <si>
    <t>959593840</t>
  </si>
  <si>
    <t>Diana Alvarado</t>
  </si>
  <si>
    <t>593997942645</t>
  </si>
  <si>
    <t>visita ténica</t>
  </si>
  <si>
    <t>Javier Benedi</t>
  </si>
  <si>
    <t>980475339</t>
  </si>
  <si>
    <t>Visita Técnica</t>
  </si>
  <si>
    <t>9087645237</t>
  </si>
  <si>
    <t>Valery Bautista</t>
  </si>
  <si>
    <t>19087645237</t>
  </si>
  <si>
    <t>Clases de matematica</t>
  </si>
  <si>
    <t>Clara</t>
  </si>
  <si>
    <t>991763425</t>
  </si>
  <si>
    <t xml:space="preserve">visita tecnica </t>
  </si>
  <si>
    <t xml:space="preserve">Benten SAC </t>
  </si>
  <si>
    <t>998220395</t>
  </si>
  <si>
    <t>visita técnica</t>
  </si>
  <si>
    <t>991 763 425</t>
  </si>
  <si>
    <t xml:space="preserve">visita y limpieza profunda </t>
  </si>
  <si>
    <t>Kerly</t>
  </si>
  <si>
    <t>957 828 089</t>
  </si>
  <si>
    <t>Elio Bendezu</t>
  </si>
  <si>
    <t>908874936</t>
  </si>
  <si>
    <t>57 319 7715018</t>
  </si>
  <si>
    <t>1106,15</t>
  </si>
  <si>
    <t>Jonathan</t>
  </si>
  <si>
    <t>987 613 870</t>
  </si>
  <si>
    <t>Hora pedagógica</t>
  </si>
  <si>
    <t>ELizabeth</t>
  </si>
  <si>
    <t>Karin Miranda</t>
  </si>
  <si>
    <t>Gyrelle Lempen</t>
  </si>
  <si>
    <t>987185670</t>
  </si>
  <si>
    <t>limpieza gen. profunda +mueble+alfombra</t>
  </si>
  <si>
    <t>Cynthia de Olazaval</t>
  </si>
  <si>
    <t>51 968 882 266</t>
  </si>
  <si>
    <t xml:space="preserve">Limpieza piso terrazo </t>
  </si>
  <si>
    <t>Katerine Chumacero Ávila</t>
  </si>
  <si>
    <t>948541746</t>
  </si>
  <si>
    <t>Walter Echevarria</t>
  </si>
  <si>
    <t>948334746</t>
  </si>
  <si>
    <t>Asesoria legal</t>
  </si>
  <si>
    <t>Ricardo Rodriguez</t>
  </si>
  <si>
    <t>961757776</t>
  </si>
  <si>
    <t xml:space="preserve">lavado colchon </t>
  </si>
  <si>
    <t>Fernando</t>
  </si>
  <si>
    <t>935298121</t>
  </si>
  <si>
    <t>visita tecnica</t>
  </si>
  <si>
    <t>Cliente David Molina</t>
  </si>
  <si>
    <t>Axel Moises</t>
  </si>
  <si>
    <t>Jose Febres</t>
  </si>
  <si>
    <t>941371972</t>
  </si>
  <si>
    <t xml:space="preserve">clase piloto </t>
  </si>
  <si>
    <t>Julio Velarde</t>
  </si>
  <si>
    <t>942630467</t>
  </si>
  <si>
    <t>limpieza general profunda</t>
  </si>
  <si>
    <t xml:space="preserve">Carla Vega </t>
  </si>
  <si>
    <t>944601943</t>
  </si>
  <si>
    <t xml:space="preserve">visita tecncia </t>
  </si>
  <si>
    <t>Adriana Ledesma</t>
  </si>
  <si>
    <t>986425634</t>
  </si>
  <si>
    <t>Monica Espinoza</t>
  </si>
  <si>
    <t>902357223</t>
  </si>
  <si>
    <t>Ernesto Flores Velarde</t>
  </si>
  <si>
    <t>948974209 - 910716771</t>
  </si>
  <si>
    <t xml:space="preserve">limpieza de colchon </t>
  </si>
  <si>
    <t>Zonrina Nuñez Molina</t>
  </si>
  <si>
    <t>988510700</t>
  </si>
  <si>
    <t>Roberth Pomareda Juárez</t>
  </si>
  <si>
    <t>959383677</t>
  </si>
  <si>
    <t>Limpieza de mueble</t>
  </si>
  <si>
    <t>Joshoa Pastor</t>
  </si>
  <si>
    <t>932130036</t>
  </si>
  <si>
    <t>Logos</t>
  </si>
  <si>
    <t>Karen Dreyfus</t>
  </si>
  <si>
    <t>956251217</t>
  </si>
  <si>
    <t>visita tecnica - + limpieza piso parquet y terrazo</t>
  </si>
  <si>
    <t>Glady Aliaga</t>
  </si>
  <si>
    <t>999467982</t>
  </si>
  <si>
    <t>rodrigo dongo</t>
  </si>
  <si>
    <t>997071713</t>
  </si>
  <si>
    <t>Oskar</t>
  </si>
  <si>
    <t>998116580</t>
  </si>
  <si>
    <t xml:space="preserve">Karol </t>
  </si>
  <si>
    <t>929 828 939</t>
  </si>
  <si>
    <t>Limpieza general profunda</t>
  </si>
  <si>
    <t>Gianfranco Barreto</t>
  </si>
  <si>
    <t>956566158</t>
  </si>
  <si>
    <t>Limpieza al delicado</t>
  </si>
  <si>
    <t>Rodrigo Morales</t>
  </si>
  <si>
    <t>51 991 252 078</t>
  </si>
  <si>
    <t>Richard</t>
  </si>
  <si>
    <t>Penalidad al Cliente</t>
  </si>
  <si>
    <t>Miryam Aragón</t>
  </si>
  <si>
    <t>Steven Zavala</t>
  </si>
  <si>
    <t>951721670</t>
  </si>
  <si>
    <t xml:space="preserve">Sergio </t>
  </si>
  <si>
    <t>986978347</t>
  </si>
  <si>
    <t>Carlos Cobeñas</t>
  </si>
  <si>
    <t>912077222 / 947100970</t>
  </si>
  <si>
    <t>Sebastian Cuba</t>
  </si>
  <si>
    <t>949279642</t>
  </si>
  <si>
    <t>Mi Profe Clases</t>
  </si>
  <si>
    <t>clases 90 min</t>
  </si>
  <si>
    <t>Clase 180 min</t>
  </si>
  <si>
    <t>Roxana Monsalve</t>
  </si>
  <si>
    <t>923357779</t>
  </si>
  <si>
    <t>limpieza colchon</t>
  </si>
  <si>
    <t xml:space="preserve">Lisett Castañeda </t>
  </si>
  <si>
    <t>947307064</t>
  </si>
  <si>
    <t>limpieza sillas</t>
  </si>
  <si>
    <t>Blanca Polar</t>
  </si>
  <si>
    <t>940154002</t>
  </si>
  <si>
    <t>Don Lavado</t>
  </si>
  <si>
    <t>Luisa campana</t>
  </si>
  <si>
    <t>944 601 943</t>
  </si>
  <si>
    <t xml:space="preserve">LGP depto y Al vapor muebles </t>
  </si>
  <si>
    <t xml:space="preserve">María Angélica </t>
  </si>
  <si>
    <t>984323270</t>
  </si>
  <si>
    <t>Maycol</t>
  </si>
  <si>
    <t>Deseo Clics</t>
  </si>
  <si>
    <t>Logo</t>
  </si>
  <si>
    <t>Valeria Marquez</t>
  </si>
  <si>
    <t>Clase d</t>
  </si>
  <si>
    <t>Paola Palacios</t>
  </si>
  <si>
    <t>966494549</t>
  </si>
  <si>
    <t>Daniela Alvarado</t>
  </si>
  <si>
    <t xml:space="preserve">limpieza piso madera </t>
  </si>
  <si>
    <t>Client de Marco</t>
  </si>
  <si>
    <t>Juana Poma</t>
  </si>
  <si>
    <t>970 816 477</t>
  </si>
  <si>
    <t>CLase</t>
  </si>
  <si>
    <t>Isabel Moreno</t>
  </si>
  <si>
    <t>976312787</t>
  </si>
  <si>
    <t>Voriconazol 200 mg</t>
  </si>
  <si>
    <t>Graciela Cerna</t>
  </si>
  <si>
    <t>955777409</t>
  </si>
  <si>
    <t>Alfonso Carrasco</t>
  </si>
  <si>
    <t>999665778</t>
  </si>
  <si>
    <t>Gladys Costa</t>
  </si>
  <si>
    <t>999571280</t>
  </si>
  <si>
    <t>visita tecnica + piso laja</t>
  </si>
  <si>
    <t xml:space="preserve">Rocio Sierra Aguilar </t>
  </si>
  <si>
    <t>952724089</t>
  </si>
  <si>
    <t>viisita tecnica</t>
  </si>
  <si>
    <t>Gerardo Bedoya</t>
  </si>
  <si>
    <t>985864267</t>
  </si>
  <si>
    <t xml:space="preserve">Limpieza al vapor </t>
  </si>
  <si>
    <t>jemima vilchez</t>
  </si>
  <si>
    <t>959 244 062</t>
  </si>
  <si>
    <t>limpieza de ventanas</t>
  </si>
  <si>
    <t>María del Carmen Vargas</t>
  </si>
  <si>
    <t>999464888</t>
  </si>
  <si>
    <t>Nancy Pilar Casio Berrios</t>
  </si>
  <si>
    <t>985 576 618</t>
  </si>
  <si>
    <t xml:space="preserve">limpieza profunda </t>
  </si>
  <si>
    <t>RICARDO MANUEL ALEJOS ARAUCO</t>
  </si>
  <si>
    <t>945281095</t>
  </si>
  <si>
    <t xml:space="preserve">limpieza al vapor </t>
  </si>
  <si>
    <t>Camila Cueva</t>
  </si>
  <si>
    <t>976 369 968</t>
  </si>
  <si>
    <t>Soy IB</t>
  </si>
  <si>
    <t>Paquete de 10 horas</t>
  </si>
  <si>
    <t>UETC</t>
  </si>
  <si>
    <t>Luis Maguiña</t>
  </si>
  <si>
    <t>931480035</t>
  </si>
  <si>
    <t xml:space="preserve">limpieza al delicado </t>
  </si>
  <si>
    <t>Roxana</t>
  </si>
  <si>
    <t>900 521 008 - 980321622</t>
  </si>
  <si>
    <t xml:space="preserve">Limpieza al delicado </t>
  </si>
  <si>
    <t xml:space="preserve">milagros Córdova </t>
  </si>
  <si>
    <t>947203346</t>
  </si>
  <si>
    <t>Ariana</t>
  </si>
  <si>
    <t>981 150 876</t>
  </si>
  <si>
    <t>Miguel Reyes</t>
  </si>
  <si>
    <t>914358575</t>
  </si>
  <si>
    <t xml:space="preserve">Lisvet </t>
  </si>
  <si>
    <t>949684408</t>
  </si>
  <si>
    <t>ProfesordematematicasenLIMA</t>
  </si>
  <si>
    <t xml:space="preserve">Clase piloto </t>
  </si>
  <si>
    <t xml:space="preserve">Marco </t>
  </si>
  <si>
    <t>967575998</t>
  </si>
  <si>
    <t>Limpieza al vapor</t>
  </si>
  <si>
    <t>Surquillo</t>
  </si>
  <si>
    <t>Alfonos Carrasco</t>
  </si>
  <si>
    <t xml:space="preserve">piso terrazo </t>
  </si>
  <si>
    <t>jessica Ramirez</t>
  </si>
  <si>
    <t>978 978 097</t>
  </si>
  <si>
    <t xml:space="preserve">Miraflores </t>
  </si>
  <si>
    <t>Cintia</t>
  </si>
  <si>
    <t>393513774510</t>
  </si>
  <si>
    <t>Raul Porras Barrenechea</t>
  </si>
  <si>
    <t>983584320</t>
  </si>
  <si>
    <t>Paquete 10 horas</t>
  </si>
  <si>
    <t xml:space="preserve">Ana </t>
  </si>
  <si>
    <t>987187049</t>
  </si>
  <si>
    <t xml:space="preserve">Lavado de mueble </t>
  </si>
  <si>
    <t>San Juan de Lurigancho</t>
  </si>
  <si>
    <t>Enrique Távara</t>
  </si>
  <si>
    <t>996686000</t>
  </si>
  <si>
    <t>limpieza al delicado</t>
  </si>
  <si>
    <t>Punta Hermosa</t>
  </si>
  <si>
    <t>Myriam</t>
  </si>
  <si>
    <t>51 933 989 743</t>
  </si>
  <si>
    <t xml:space="preserve">Uma </t>
  </si>
  <si>
    <t>Clase Paquete 30 horas</t>
  </si>
  <si>
    <t xml:space="preserve">vladimir </t>
  </si>
  <si>
    <t>920730345</t>
  </si>
  <si>
    <t>capecitabina + oxaliplatino</t>
  </si>
  <si>
    <t>Giovana</t>
  </si>
  <si>
    <t>963768312</t>
  </si>
  <si>
    <t xml:space="preserve">Cesar </t>
  </si>
  <si>
    <t>989321848</t>
  </si>
  <si>
    <t>San Borja</t>
  </si>
  <si>
    <t xml:space="preserve">luciano </t>
  </si>
  <si>
    <t>962 358 470</t>
  </si>
  <si>
    <t xml:space="preserve">clases </t>
  </si>
  <si>
    <t xml:space="preserve">karla acuy </t>
  </si>
  <si>
    <t>1(786)2278204</t>
  </si>
  <si>
    <t>San Isidro</t>
  </si>
  <si>
    <t>Alexandra Estrada</t>
  </si>
  <si>
    <t>937456559</t>
  </si>
  <si>
    <t xml:space="preserve">Comas </t>
  </si>
  <si>
    <t>Edgar Pallarozo</t>
  </si>
  <si>
    <t>962744328</t>
  </si>
  <si>
    <t xml:space="preserve">patty </t>
  </si>
  <si>
    <t>976 312 787</t>
  </si>
  <si>
    <t xml:space="preserve">medicamento </t>
  </si>
  <si>
    <t xml:space="preserve">Jose maría </t>
  </si>
  <si>
    <t>34630140739</t>
  </si>
  <si>
    <t>30 horas</t>
  </si>
  <si>
    <t>Ayda Ramos coris</t>
  </si>
  <si>
    <t>991927079</t>
  </si>
  <si>
    <t>Magdalena</t>
  </si>
  <si>
    <t xml:space="preserve">Michelle Safra </t>
  </si>
  <si>
    <t>51938135764</t>
  </si>
  <si>
    <t xml:space="preserve">30 horas </t>
  </si>
  <si>
    <t>Fernando de la Flor</t>
  </si>
  <si>
    <t>997514830</t>
  </si>
  <si>
    <t>Miraflores</t>
  </si>
  <si>
    <t>catalina</t>
  </si>
  <si>
    <t>57 321 2605910</t>
  </si>
  <si>
    <t>Dora Vizcarra</t>
  </si>
  <si>
    <t>990035535</t>
  </si>
  <si>
    <t xml:space="preserve">Visita técnica </t>
  </si>
  <si>
    <t>Limpieza profunda de piso +LGP 190m2</t>
  </si>
  <si>
    <t xml:space="preserve"> Kelly Sopla</t>
  </si>
  <si>
    <t>987777217</t>
  </si>
  <si>
    <t>Lavado al vapor</t>
  </si>
  <si>
    <t>Los Olivos</t>
  </si>
  <si>
    <t>Ever</t>
  </si>
  <si>
    <t>Amelia Elena Rivera</t>
  </si>
  <si>
    <t>956914523</t>
  </si>
  <si>
    <t>Lavado al delicado</t>
  </si>
  <si>
    <t>Breña</t>
  </si>
  <si>
    <t xml:space="preserve">Mariagracia Valdivia Muratta </t>
  </si>
  <si>
    <t>959583531</t>
  </si>
  <si>
    <t xml:space="preserve">limpieza doméstica </t>
  </si>
  <si>
    <t xml:space="preserve">Barranco </t>
  </si>
  <si>
    <t>Jair Herbozo Torres</t>
  </si>
  <si>
    <t>980514217</t>
  </si>
  <si>
    <t>Adriana maradei</t>
  </si>
  <si>
    <t>573169128631</t>
  </si>
  <si>
    <t xml:space="preserve">asesoría legal </t>
  </si>
  <si>
    <t>Alfonso Derteano</t>
  </si>
  <si>
    <t>51 995 036 700</t>
  </si>
  <si>
    <t>Isabel Mendoza</t>
  </si>
  <si>
    <t>969083145</t>
  </si>
  <si>
    <t>maria isabel morimoto</t>
  </si>
  <si>
    <t>991151979</t>
  </si>
  <si>
    <t>Jesus Maria</t>
  </si>
  <si>
    <t>Luis Serrano</t>
  </si>
  <si>
    <t>985619999</t>
  </si>
  <si>
    <t>San isidro</t>
  </si>
  <si>
    <t>Juan Ignacio</t>
  </si>
  <si>
    <t>56979979015</t>
  </si>
  <si>
    <t xml:space="preserve">Juan Ignacio </t>
  </si>
  <si>
    <t>Valentina Morales</t>
  </si>
  <si>
    <t>939310598</t>
  </si>
  <si>
    <t>Paquete 30 horas</t>
  </si>
  <si>
    <t>Yadhira</t>
  </si>
  <si>
    <t>960230715</t>
  </si>
  <si>
    <t xml:space="preserve">margiori </t>
  </si>
  <si>
    <t>984753429</t>
  </si>
  <si>
    <t xml:space="preserve">paquete de 10 hras </t>
  </si>
  <si>
    <t>Maruja Enriquez Tapia</t>
  </si>
  <si>
    <t>940344602</t>
  </si>
  <si>
    <t>Pueblo Libre</t>
  </si>
  <si>
    <t>Ivet Raysa Ocampo</t>
  </si>
  <si>
    <t>926 576 216 o 977504400</t>
  </si>
  <si>
    <t>Miriam Memenza</t>
  </si>
  <si>
    <t>99494843</t>
  </si>
  <si>
    <t>San Miguel</t>
  </si>
  <si>
    <t>Avril Diaz</t>
  </si>
  <si>
    <t>959766427</t>
  </si>
  <si>
    <t>Paquete de 30 horas</t>
  </si>
  <si>
    <t>Génesis Gómez</t>
  </si>
  <si>
    <t>983434565</t>
  </si>
  <si>
    <t>Clase Piloto</t>
  </si>
  <si>
    <t>Olga García Alor</t>
  </si>
  <si>
    <t>963086227</t>
  </si>
  <si>
    <t>La Molina</t>
  </si>
  <si>
    <t>susana</t>
  </si>
  <si>
    <t>954194408</t>
  </si>
  <si>
    <t xml:space="preserve">limpieza de baño </t>
  </si>
  <si>
    <t>Jesus soto reynoso</t>
  </si>
  <si>
    <t>998734758</t>
  </si>
  <si>
    <t>Diego Mendoza</t>
  </si>
  <si>
    <t>902 806 600</t>
  </si>
  <si>
    <t xml:space="preserve">Voriconazil x200mg </t>
  </si>
  <si>
    <t>Jose Paulo Roque</t>
  </si>
  <si>
    <t>946 902 652</t>
  </si>
  <si>
    <t>Francisco</t>
  </si>
  <si>
    <t>593 97 924 6277</t>
  </si>
  <si>
    <t>Voriconazol x200mg</t>
  </si>
  <si>
    <t>Melissa Yi</t>
  </si>
  <si>
    <t xml:space="preserve"> 966427180</t>
  </si>
  <si>
    <t>Anthony Arias</t>
  </si>
  <si>
    <t>997126210</t>
  </si>
  <si>
    <t>Rossana Bertello</t>
  </si>
  <si>
    <t>993734180</t>
  </si>
  <si>
    <t>Limpieza alfombra</t>
  </si>
  <si>
    <t>Santiago de Surco</t>
  </si>
  <si>
    <t>Veronika Vilchez</t>
  </si>
  <si>
    <t>951366783</t>
  </si>
  <si>
    <t>Jesús María</t>
  </si>
  <si>
    <t>Alberto Solis</t>
  </si>
  <si>
    <t xml:space="preserve"> 985349512</t>
  </si>
  <si>
    <t>Renato Gómez</t>
  </si>
  <si>
    <t>Prueba piloto</t>
  </si>
  <si>
    <t>Yalu Ramos</t>
  </si>
  <si>
    <t>933261723</t>
  </si>
  <si>
    <t xml:space="preserve">Limpieza profunda de piso </t>
  </si>
  <si>
    <t xml:space="preserve">Jorge Torres </t>
  </si>
  <si>
    <t>999004693</t>
  </si>
  <si>
    <t>Valentina Eca Oteva</t>
  </si>
  <si>
    <t>997724778</t>
  </si>
  <si>
    <t>Antonio fistrovic</t>
  </si>
  <si>
    <t>980310468</t>
  </si>
  <si>
    <t xml:space="preserve">Limpieza Al Vapor </t>
  </si>
  <si>
    <t>Silvana Arana</t>
  </si>
  <si>
    <t>997377319</t>
  </si>
  <si>
    <t>Raul Garcia</t>
  </si>
  <si>
    <t>992775102</t>
  </si>
  <si>
    <t>Limpieza semi ind</t>
  </si>
  <si>
    <t>Carlos Zegarra</t>
  </si>
  <si>
    <t>999902442</t>
  </si>
  <si>
    <t xml:space="preserve">Visita Tecnica </t>
  </si>
  <si>
    <t>Surco</t>
  </si>
  <si>
    <t xml:space="preserve">Patty </t>
  </si>
  <si>
    <t xml:space="preserve">Voriconazil 200mg </t>
  </si>
  <si>
    <t>Carolina</t>
  </si>
  <si>
    <t>996 498 461</t>
  </si>
  <si>
    <t>Limpieza profunda de piso</t>
  </si>
  <si>
    <t xml:space="preserve">Osmar </t>
  </si>
  <si>
    <t>987545652</t>
  </si>
  <si>
    <t xml:space="preserve">4 rituximab 500mg </t>
  </si>
  <si>
    <t>Brenda Peña</t>
  </si>
  <si>
    <t>998 033 197</t>
  </si>
  <si>
    <t>David</t>
  </si>
  <si>
    <t>934 484 098</t>
  </si>
  <si>
    <t>Paquete premium logo</t>
  </si>
  <si>
    <t>María</t>
  </si>
  <si>
    <t>976 520 942</t>
  </si>
  <si>
    <t>Lady</t>
  </si>
  <si>
    <t>991 341 761</t>
  </si>
  <si>
    <t>Servicio de Google Ads</t>
  </si>
  <si>
    <t>985349512</t>
  </si>
  <si>
    <t xml:space="preserve">Temas legales </t>
  </si>
  <si>
    <t>David Effio Bustamante</t>
  </si>
  <si>
    <t>983259191</t>
  </si>
  <si>
    <t>Clases contabilidad (2hrs)</t>
  </si>
  <si>
    <t>Andreas Inversini</t>
  </si>
  <si>
    <t>949728899</t>
  </si>
  <si>
    <t>Luis Nakandakari</t>
  </si>
  <si>
    <t>986111920</t>
  </si>
  <si>
    <t>VISITA TÉCNICA</t>
  </si>
  <si>
    <t xml:space="preserve">Paquete de 10 hras </t>
  </si>
  <si>
    <t>Edman Trigoso Torres</t>
  </si>
  <si>
    <t>995003375</t>
  </si>
  <si>
    <t>Regina Torres Angulo</t>
  </si>
  <si>
    <t>952322429</t>
  </si>
  <si>
    <t>Limpieza de Dep YA</t>
  </si>
  <si>
    <t xml:space="preserve">Limpieza de baño </t>
  </si>
  <si>
    <t>Natalia Rojas</t>
  </si>
  <si>
    <t>995699399</t>
  </si>
  <si>
    <t>San Martin de Porres</t>
  </si>
  <si>
    <t>Anibal Clavijo</t>
  </si>
  <si>
    <t>997571484</t>
  </si>
  <si>
    <t>Lorena Vásquez</t>
  </si>
  <si>
    <t>996051977</t>
  </si>
  <si>
    <t>Eduardo Laos Rodríguez</t>
  </si>
  <si>
    <t>934 774 447</t>
  </si>
  <si>
    <t>Mateo Diaz</t>
  </si>
  <si>
    <t>946245006</t>
  </si>
  <si>
    <t>Juan Sarmiento López</t>
  </si>
  <si>
    <t>998235639</t>
  </si>
  <si>
    <t>Maria Isabel retamozo Olsen</t>
  </si>
  <si>
    <t>992 885 210</t>
  </si>
  <si>
    <t xml:space="preserve">Limpieza de piso </t>
  </si>
  <si>
    <t>Bhavna bhambhani</t>
  </si>
  <si>
    <t>989239511</t>
  </si>
  <si>
    <t>998033197</t>
  </si>
  <si>
    <t>Silvia Yumpo</t>
  </si>
  <si>
    <t>970639351</t>
  </si>
  <si>
    <t xml:space="preserve">Limpieza de cocina </t>
  </si>
  <si>
    <t>Mario Chang</t>
  </si>
  <si>
    <t>963 318 886</t>
  </si>
  <si>
    <t>Valeria Soto</t>
  </si>
  <si>
    <t>969 386 592</t>
  </si>
  <si>
    <t>Sandra Castro</t>
  </si>
  <si>
    <t>940395195</t>
  </si>
  <si>
    <t>Nicolle Alcas</t>
  </si>
  <si>
    <t>931471453</t>
  </si>
  <si>
    <t>LIMPIEZA AL VAPOR</t>
  </si>
  <si>
    <t>983 584 320</t>
  </si>
  <si>
    <t>Jose fuentes moreno</t>
  </si>
  <si>
    <t>920 302 754</t>
  </si>
  <si>
    <t xml:space="preserve">Limpieza profunda + limpieza al vapor </t>
  </si>
  <si>
    <t>Villa el Salvador</t>
  </si>
  <si>
    <t>1 (954) 232-5510</t>
  </si>
  <si>
    <t xml:space="preserve">Punta Hermosa </t>
  </si>
  <si>
    <t>Olga Saavedra</t>
  </si>
  <si>
    <t>957292497</t>
  </si>
  <si>
    <t>Luis</t>
  </si>
  <si>
    <t xml:space="preserve"> 941 289 236</t>
  </si>
  <si>
    <t>Limpieza de muebles</t>
  </si>
  <si>
    <t>Jesús Maria</t>
  </si>
  <si>
    <t xml:space="preserve">Valentina </t>
  </si>
  <si>
    <t>997 724 778</t>
  </si>
  <si>
    <t>Janett Suarez</t>
  </si>
  <si>
    <t>951 213 551</t>
  </si>
  <si>
    <t>Gladys Navarro</t>
  </si>
  <si>
    <t>949 496 323</t>
  </si>
  <si>
    <t>Psicologos</t>
  </si>
  <si>
    <t>Thiago Caballero Carrasco</t>
  </si>
  <si>
    <t>950741470</t>
  </si>
  <si>
    <t>Clase piloto</t>
  </si>
  <si>
    <t>Laura Sevillano</t>
  </si>
  <si>
    <t>950377998</t>
  </si>
  <si>
    <t>967 12007</t>
  </si>
  <si>
    <t>Gianella Castillo Gavidia</t>
  </si>
  <si>
    <t>994 442 430</t>
  </si>
  <si>
    <t>Joaquin</t>
  </si>
  <si>
    <t>998 952 751</t>
  </si>
  <si>
    <t>Rodrigo Arenas</t>
  </si>
  <si>
    <t>976123388</t>
  </si>
  <si>
    <t>Paquete de 21 horas</t>
  </si>
  <si>
    <t>Vanessa Sánchez</t>
  </si>
  <si>
    <t>954 878 261</t>
  </si>
  <si>
    <t>998952751</t>
  </si>
  <si>
    <t>Rossi Burneo</t>
  </si>
  <si>
    <t>943145244</t>
  </si>
  <si>
    <t>Barranco</t>
  </si>
  <si>
    <t>954878261</t>
  </si>
  <si>
    <t>Lunna Neri</t>
  </si>
  <si>
    <t>906731680</t>
  </si>
  <si>
    <t>Marisol rueda</t>
  </si>
  <si>
    <t>999107780</t>
  </si>
  <si>
    <t>María Caceres Verastegui</t>
  </si>
  <si>
    <t>945014529</t>
  </si>
  <si>
    <t>Danitza Lizarraga</t>
  </si>
  <si>
    <t>941 887 268</t>
  </si>
  <si>
    <t>Zully</t>
  </si>
  <si>
    <t>910 425 102</t>
  </si>
  <si>
    <t xml:space="preserve">Clase de 45min </t>
  </si>
  <si>
    <t>Eduardo Márquez Loza</t>
  </si>
  <si>
    <t>949 343 150</t>
  </si>
  <si>
    <t xml:space="preserve">Limpieza al Delicado </t>
  </si>
  <si>
    <t>Villa Maria del Triunfo</t>
  </si>
  <si>
    <t>Nicolas</t>
  </si>
  <si>
    <t>50766081145</t>
  </si>
  <si>
    <t>Verónica Concha Fernández</t>
  </si>
  <si>
    <t>958 317 031</t>
  </si>
  <si>
    <t xml:space="preserve">Limpieza de ventanas </t>
  </si>
  <si>
    <t xml:space="preserve">Mariana Martínez </t>
  </si>
  <si>
    <t>914 901 910</t>
  </si>
  <si>
    <t xml:space="preserve">luis </t>
  </si>
  <si>
    <t>980 777 747</t>
  </si>
  <si>
    <t>Luis Vargas</t>
  </si>
  <si>
    <t>996105445</t>
  </si>
  <si>
    <t xml:space="preserve">Cocina + campana </t>
  </si>
  <si>
    <t>Patricia Nakama</t>
  </si>
  <si>
    <t>986604120</t>
  </si>
  <si>
    <t xml:space="preserve">Limpieza Al Delicado </t>
  </si>
  <si>
    <t>Victor Hugo</t>
  </si>
  <si>
    <t>989191190</t>
  </si>
  <si>
    <t>Manuel Rodriguez</t>
  </si>
  <si>
    <t>928 533 852</t>
  </si>
  <si>
    <t>Bernhard Lotterer</t>
  </si>
  <si>
    <t>949270126</t>
  </si>
  <si>
    <t xml:space="preserve">Laura </t>
  </si>
  <si>
    <t>3206605140</t>
  </si>
  <si>
    <t xml:space="preserve">Logo </t>
  </si>
  <si>
    <t>Nora Arambulo</t>
  </si>
  <si>
    <t>997902477</t>
  </si>
  <si>
    <t>MARS</t>
  </si>
  <si>
    <t>939 687 842</t>
  </si>
  <si>
    <t>zuly</t>
  </si>
  <si>
    <t>clases</t>
  </si>
  <si>
    <t>María Cristina Beguelin</t>
  </si>
  <si>
    <t>981058997</t>
  </si>
  <si>
    <t>Paula Trevisan</t>
  </si>
  <si>
    <t>984023400</t>
  </si>
  <si>
    <t xml:space="preserve">Diseño publicitario </t>
  </si>
  <si>
    <t xml:space="preserve">Claudia </t>
  </si>
  <si>
    <t>981667500</t>
  </si>
  <si>
    <t>Claudy Alarcon</t>
  </si>
  <si>
    <t>988 988 709</t>
  </si>
  <si>
    <t>Daniela Lisung</t>
  </si>
  <si>
    <t>Mauricio Rodriguez</t>
  </si>
  <si>
    <t>956 768 787</t>
  </si>
  <si>
    <t>Visita Tecnica</t>
  </si>
  <si>
    <t>Ruth</t>
  </si>
  <si>
    <t>Carla salazar</t>
  </si>
  <si>
    <t>958967347</t>
  </si>
  <si>
    <t>Patricia Ocampo</t>
  </si>
  <si>
    <t>Luis Guillermo Sebastián Rios Pérez</t>
  </si>
  <si>
    <t>951 533 528</t>
  </si>
  <si>
    <t>Jenni (alumna)</t>
  </si>
  <si>
    <t>969 338 726</t>
  </si>
  <si>
    <t xml:space="preserve">clase modelo </t>
  </si>
  <si>
    <t>Dani Alberich</t>
  </si>
  <si>
    <t>987 134 154</t>
  </si>
  <si>
    <t>marlene</t>
  </si>
  <si>
    <t>992861544</t>
  </si>
  <si>
    <t>Alejandro Houghton</t>
  </si>
  <si>
    <t>989105819</t>
  </si>
  <si>
    <t>Giuliana Ruiz</t>
  </si>
  <si>
    <t>988 948 813</t>
  </si>
  <si>
    <t>998 001 109</t>
  </si>
  <si>
    <t>Letizia Vera Moscoso</t>
  </si>
  <si>
    <t>966 664 511</t>
  </si>
  <si>
    <t>Sunyta Gavidia</t>
  </si>
  <si>
    <t xml:space="preserve">paquete de 30 horas </t>
  </si>
  <si>
    <t xml:space="preserve">limpieza de piso + limpieza profunda </t>
  </si>
  <si>
    <t xml:space="preserve">Génesis Gomez </t>
  </si>
  <si>
    <t>983 434 565</t>
  </si>
  <si>
    <t xml:space="preserve">Paquete de 10 horas </t>
  </si>
  <si>
    <t>984 434 565</t>
  </si>
  <si>
    <t>981 058 997</t>
  </si>
  <si>
    <t>Livio Huaman</t>
  </si>
  <si>
    <t>995 738 894</t>
  </si>
  <si>
    <t>paquete de 30 hrs</t>
  </si>
  <si>
    <t>Robert Cabrera</t>
  </si>
  <si>
    <t>931 254 016</t>
  </si>
  <si>
    <t>Ana Lorenzo</t>
  </si>
  <si>
    <t>34 633 94 11 05</t>
  </si>
  <si>
    <t>Angie Huauya</t>
  </si>
  <si>
    <t>904 309 844</t>
  </si>
  <si>
    <t>Irma</t>
  </si>
  <si>
    <t>976 102 059</t>
  </si>
  <si>
    <t>Asesoria Legal</t>
  </si>
  <si>
    <t>Yuri Lazo Gómez</t>
  </si>
  <si>
    <t>945 740 495</t>
  </si>
  <si>
    <t>Andrea Paredes</t>
  </si>
  <si>
    <t>988 220 682</t>
  </si>
  <si>
    <t>Miriam Gonzales</t>
  </si>
  <si>
    <t>975 496 120</t>
  </si>
  <si>
    <t>Resolución de problemas</t>
  </si>
  <si>
    <t>Elizabeth hurtado</t>
  </si>
  <si>
    <t>966 238 947</t>
  </si>
  <si>
    <t xml:space="preserve">voriconazol 200mg </t>
  </si>
  <si>
    <t>Nathaly Lopez</t>
  </si>
  <si>
    <t>948 530 363</t>
  </si>
  <si>
    <t>limpieza de colchon 2 plazas</t>
  </si>
  <si>
    <t>Miguel Angel Ocampo Guerra</t>
  </si>
  <si>
    <t>942 953 858</t>
  </si>
  <si>
    <t>2 ampollas RITUXIMAB de 500 mg / 50 ml</t>
  </si>
  <si>
    <t>Alan Monasterio</t>
  </si>
  <si>
    <t>991 820 468</t>
  </si>
  <si>
    <t>Helen Durand Misajel</t>
  </si>
  <si>
    <t>983581685</t>
  </si>
  <si>
    <t xml:space="preserve">Limpieza Al vapor </t>
  </si>
  <si>
    <t>Chorrillos</t>
  </si>
  <si>
    <t>Lorena Mavila</t>
  </si>
  <si>
    <t>996 320 061</t>
  </si>
  <si>
    <t>Thalia</t>
  </si>
  <si>
    <t>1 (343) 572-2672</t>
  </si>
  <si>
    <t>Gladys Jarama</t>
  </si>
  <si>
    <t>994 013 579</t>
  </si>
  <si>
    <t>Jesús Stephan Jara Anquise</t>
  </si>
  <si>
    <t>930 363 425</t>
  </si>
  <si>
    <t>Paulo Cozano</t>
  </si>
  <si>
    <t>944 247 435</t>
  </si>
  <si>
    <t>Armando</t>
  </si>
  <si>
    <t>906 028 320</t>
  </si>
  <si>
    <t>Nelly Solis</t>
  </si>
  <si>
    <t>986 949 086</t>
  </si>
  <si>
    <t>Jorge Garcia</t>
  </si>
  <si>
    <t>952467807</t>
  </si>
  <si>
    <t>Ate</t>
  </si>
  <si>
    <t>986949086</t>
  </si>
  <si>
    <t>Aleidy Araujo</t>
  </si>
  <si>
    <t>981 369 253</t>
  </si>
  <si>
    <t>Pilar</t>
  </si>
  <si>
    <t>946 487 059</t>
  </si>
  <si>
    <t>947 487 059</t>
  </si>
  <si>
    <t>16/4/2025</t>
  </si>
  <si>
    <t>Jorge Ramos</t>
  </si>
  <si>
    <t>999979385</t>
  </si>
  <si>
    <t>Alejandra Silva</t>
  </si>
  <si>
    <t>963748526</t>
  </si>
  <si>
    <t xml:space="preserve">punta negra </t>
  </si>
  <si>
    <t xml:space="preserve">diego </t>
  </si>
  <si>
    <t xml:space="preserve">voriconazol x 200mg </t>
  </si>
  <si>
    <t>Jersson</t>
  </si>
  <si>
    <t>925 845 856</t>
  </si>
  <si>
    <t>Zoe</t>
  </si>
  <si>
    <t>982 040 551</t>
  </si>
  <si>
    <t>George Caceres</t>
  </si>
  <si>
    <t>908 858 359</t>
  </si>
  <si>
    <t>Limpieza al Vapor colchón king</t>
  </si>
  <si>
    <t>17/4/2025</t>
  </si>
  <si>
    <t>Mariana Bartra</t>
  </si>
  <si>
    <t>987 507 787</t>
  </si>
  <si>
    <t>voriconazol x200mg</t>
  </si>
  <si>
    <t>Juan José Paucar Aedo</t>
  </si>
  <si>
    <t>932 830 332</t>
  </si>
  <si>
    <t xml:space="preserve">resolución de tarea </t>
  </si>
  <si>
    <t>Mamá de Elizabeth</t>
  </si>
  <si>
    <t>999 661 112</t>
  </si>
  <si>
    <t>Clase Modelo 1 hora</t>
  </si>
  <si>
    <t>Alumno Piero Quispe</t>
  </si>
  <si>
    <t>904 229 084</t>
  </si>
  <si>
    <t xml:space="preserve">Pilar </t>
  </si>
  <si>
    <t>949 577 771</t>
  </si>
  <si>
    <t>981 475 991</t>
  </si>
  <si>
    <t>Ayar Baldrik Calderon Alfar</t>
  </si>
  <si>
    <t xml:space="preserve"> 910 328 625</t>
  </si>
  <si>
    <t xml:space="preserve"> Maria del Pilar Jauregui</t>
  </si>
  <si>
    <t>981549239</t>
  </si>
  <si>
    <t>Drazen Petkovic</t>
  </si>
  <si>
    <t>387 65 498 918</t>
  </si>
  <si>
    <t>Raúl</t>
  </si>
  <si>
    <t>933485813</t>
  </si>
  <si>
    <t xml:space="preserve">Santiago Lugo </t>
  </si>
  <si>
    <t>1 55 8532 9213</t>
  </si>
  <si>
    <t>Carlos MG</t>
  </si>
  <si>
    <t>942 430 289</t>
  </si>
  <si>
    <t>2 55 8532 9213</t>
  </si>
  <si>
    <t xml:space="preserve">Valeria </t>
  </si>
  <si>
    <t>686 57 55 39</t>
  </si>
  <si>
    <t>3 55 8532 9213</t>
  </si>
  <si>
    <t>Acompañamiento Legal</t>
  </si>
  <si>
    <t>Madgalena Astocaza Cornejo</t>
  </si>
  <si>
    <t>998 972 254</t>
  </si>
  <si>
    <t>Limpieza a Vapor</t>
  </si>
  <si>
    <t xml:space="preserve">Kamila </t>
  </si>
  <si>
    <t>979 593 074</t>
  </si>
  <si>
    <t>Diani</t>
  </si>
  <si>
    <t>948 493 894</t>
  </si>
  <si>
    <t xml:space="preserve"> Silvana Martel</t>
  </si>
  <si>
    <t>993 457 832</t>
  </si>
  <si>
    <t xml:space="preserve">Limpieza de cuartos </t>
  </si>
  <si>
    <t xml:space="preserve">Yolanda </t>
  </si>
  <si>
    <t>915 975 766</t>
  </si>
  <si>
    <t xml:space="preserve">Diseño de logo </t>
  </si>
  <si>
    <t>Pilar UETC</t>
  </si>
  <si>
    <t>Carmen Vela</t>
  </si>
  <si>
    <t>941 214 610</t>
  </si>
  <si>
    <t>Johan Jackson Chumpitaz Urdaniga</t>
  </si>
  <si>
    <t>912 545 507</t>
  </si>
  <si>
    <t>San Juan de Miraflores</t>
  </si>
  <si>
    <t xml:space="preserve">Milagros Guevara </t>
  </si>
  <si>
    <t>906090463</t>
  </si>
  <si>
    <t>Rosario Peña Ricapa</t>
  </si>
  <si>
    <t>979 355 801</t>
  </si>
  <si>
    <t>Myriam Rodriguez</t>
  </si>
  <si>
    <t>992 190 650</t>
  </si>
  <si>
    <t xml:space="preserve">Anto </t>
  </si>
  <si>
    <t>904 211 180</t>
  </si>
  <si>
    <t>Aurea Zegarra</t>
  </si>
  <si>
    <t>956724381</t>
  </si>
  <si>
    <t xml:space="preserve">María </t>
  </si>
  <si>
    <t>Maia</t>
  </si>
  <si>
    <t>924 988 268</t>
  </si>
  <si>
    <t xml:space="preserve">Kelly Mamá de Maryori Espinoza </t>
  </si>
  <si>
    <t>951 664 348</t>
  </si>
  <si>
    <t>Karla Dueñas</t>
  </si>
  <si>
    <t>972211310</t>
  </si>
  <si>
    <t>Cesar</t>
  </si>
  <si>
    <t>997516213</t>
  </si>
  <si>
    <t>981 593 320</t>
  </si>
  <si>
    <t>Silore</t>
  </si>
  <si>
    <t>57 311 8702195</t>
  </si>
  <si>
    <t>Referencia</t>
  </si>
  <si>
    <t xml:space="preserve">Voriconazol x 200mg </t>
  </si>
  <si>
    <t xml:space="preserve">Flavio </t>
  </si>
  <si>
    <t>972 693 488</t>
  </si>
  <si>
    <t>Miguel Mori</t>
  </si>
  <si>
    <t>987 936 066</t>
  </si>
  <si>
    <t>visita casa</t>
  </si>
  <si>
    <t xml:space="preserve">Jesús Maria </t>
  </si>
  <si>
    <t>963 893 695</t>
  </si>
  <si>
    <t xml:space="preserve">Jose maria </t>
  </si>
  <si>
    <t>Consuelo mamá de Manuel Armas</t>
  </si>
  <si>
    <t>999 303 994</t>
  </si>
  <si>
    <t>KETY ROJAS</t>
  </si>
  <si>
    <t>915191319</t>
  </si>
  <si>
    <t>Evelyn soto Delgado</t>
  </si>
  <si>
    <t>923 834 431</t>
  </si>
  <si>
    <t>20 horas</t>
  </si>
  <si>
    <t>Mariano Galdós</t>
  </si>
  <si>
    <t>999 008 884</t>
  </si>
  <si>
    <t>Limpieza Vapor</t>
  </si>
  <si>
    <t>Richard Abusada</t>
  </si>
  <si>
    <t>998 192 474</t>
  </si>
  <si>
    <t>Sarah</t>
  </si>
  <si>
    <t>51 941 264 955</t>
  </si>
  <si>
    <t>Wilfredo Simón Inca Cupe</t>
  </si>
  <si>
    <t>999 665 298</t>
  </si>
  <si>
    <t>Limpieza a vapor</t>
  </si>
  <si>
    <t>Jamila</t>
  </si>
  <si>
    <t>972 038 888</t>
  </si>
  <si>
    <t>Luis González Planicie</t>
  </si>
  <si>
    <t>999665298</t>
  </si>
  <si>
    <t>Gustavo</t>
  </si>
  <si>
    <t>984 773 134</t>
  </si>
  <si>
    <t>Problemas</t>
  </si>
  <si>
    <t>Christian Tejada</t>
  </si>
  <si>
    <t>995 261 280</t>
  </si>
  <si>
    <t>Visita</t>
  </si>
  <si>
    <t>Pamela figueroa Gutiérrez</t>
  </si>
  <si>
    <t>959240511</t>
  </si>
  <si>
    <t>Karen Cutipa Luque</t>
  </si>
  <si>
    <t>977 424 264</t>
  </si>
  <si>
    <t>Miriam Gonzales-Problemas</t>
  </si>
  <si>
    <t>Resolución de PC</t>
  </si>
  <si>
    <t>Luis Jose zapata Bobadilla</t>
  </si>
  <si>
    <t>6266896115</t>
  </si>
  <si>
    <t>La victoria</t>
  </si>
  <si>
    <t>ANGEL NUÑEZ HIZO</t>
  </si>
  <si>
    <t>941392736</t>
  </si>
  <si>
    <t xml:space="preserve">Limpieza domestica 4 departamentos </t>
  </si>
  <si>
    <t>Lince</t>
  </si>
  <si>
    <t>Lilly liñan coya</t>
  </si>
  <si>
    <t>987 246 352</t>
  </si>
  <si>
    <t>Yonny Carache</t>
  </si>
  <si>
    <t>933910310</t>
  </si>
  <si>
    <t xml:space="preserve">carmen </t>
  </si>
  <si>
    <t>952 741 554</t>
  </si>
  <si>
    <t>910 328 625</t>
  </si>
  <si>
    <t>Resolución de ejercicios</t>
  </si>
  <si>
    <t>MARIA ARMAS</t>
  </si>
  <si>
    <t>991470302</t>
  </si>
  <si>
    <t>Jesús Hijar Calderón</t>
  </si>
  <si>
    <t>Jamila Valentina Munarriz Marcos</t>
  </si>
  <si>
    <t>Paquete 20 horas</t>
  </si>
  <si>
    <t>954 687 098</t>
  </si>
  <si>
    <t>JOE ZARATE</t>
  </si>
  <si>
    <t>992098051</t>
  </si>
  <si>
    <t>Silva Jaimes</t>
  </si>
  <si>
    <t>996060708</t>
  </si>
  <si>
    <t>El agustino</t>
  </si>
  <si>
    <t>Carmen Mamá De Camila Cueva</t>
  </si>
  <si>
    <t xml:space="preserve"> 952 741 554</t>
  </si>
  <si>
    <t>Gustavo Gutiérrez</t>
  </si>
  <si>
    <t>940 965 111</t>
  </si>
  <si>
    <t>Dayan Nikol Chambi Mamani</t>
  </si>
  <si>
    <t>935 245 479</t>
  </si>
  <si>
    <t xml:space="preserve">Sonia Zevallos </t>
  </si>
  <si>
    <t xml:space="preserve"> 990 279 066</t>
  </si>
  <si>
    <t xml:space="preserve">limpieza prounda </t>
  </si>
  <si>
    <t>Luis Zapata</t>
  </si>
  <si>
    <t>(626) 689-6115</t>
  </si>
  <si>
    <t xml:space="preserve">Limpieza de cuarto </t>
  </si>
  <si>
    <t>Gaby López</t>
  </si>
  <si>
    <t>982068722</t>
  </si>
  <si>
    <t>Sonia mamá de Min</t>
  </si>
  <si>
    <t xml:space="preserve"> 950 255 137</t>
  </si>
  <si>
    <t>Milagros</t>
  </si>
  <si>
    <t>977 563 185</t>
  </si>
  <si>
    <t>Franceska</t>
  </si>
  <si>
    <t>997 569 674</t>
  </si>
  <si>
    <t>Revisión trabajo de investigación</t>
  </si>
  <si>
    <t>953 123 008</t>
  </si>
  <si>
    <t>Génesis aguinaga Huamán</t>
  </si>
  <si>
    <t>940 727 423</t>
  </si>
  <si>
    <t>Pq de 20 horas</t>
  </si>
  <si>
    <t>Luis Alanya</t>
  </si>
  <si>
    <t>991 577 750</t>
  </si>
  <si>
    <t>Carlos Enrique Lara Grados</t>
  </si>
  <si>
    <t>996 172 839</t>
  </si>
  <si>
    <t>Salamanca</t>
  </si>
  <si>
    <t>Agustín Tapia</t>
  </si>
  <si>
    <t>965048464</t>
  </si>
  <si>
    <t>Martin Bautista Layme</t>
  </si>
  <si>
    <t>965149948</t>
  </si>
  <si>
    <t>Joel Olfer Leiva Minaya</t>
  </si>
  <si>
    <t>941 759 095</t>
  </si>
  <si>
    <t>Visista</t>
  </si>
  <si>
    <t>Susana Salazar</t>
  </si>
  <si>
    <t>977 193 883</t>
  </si>
  <si>
    <t>resolución de examen</t>
  </si>
  <si>
    <t>Carolina Calderon</t>
  </si>
  <si>
    <t>950555990</t>
  </si>
  <si>
    <t>Bell Ariana Loli Roque</t>
  </si>
  <si>
    <t>993 545 440</t>
  </si>
  <si>
    <t xml:space="preserve">Carmen Carbajal Gomez </t>
  </si>
  <si>
    <t>993 102 951</t>
  </si>
  <si>
    <t>Carmen Salinas</t>
  </si>
  <si>
    <t>993 708 275</t>
  </si>
  <si>
    <t>Gerson</t>
  </si>
  <si>
    <t>992 874 460</t>
  </si>
  <si>
    <t>clase modelo</t>
  </si>
  <si>
    <t>Massoni</t>
  </si>
  <si>
    <t>Lu</t>
  </si>
  <si>
    <t>938 126 302</t>
  </si>
  <si>
    <t>945117717</t>
  </si>
  <si>
    <t>D Art Salon</t>
  </si>
  <si>
    <t>942705879</t>
  </si>
  <si>
    <t>Glenda farge</t>
  </si>
  <si>
    <t>998 399 564</t>
  </si>
  <si>
    <t>Isabella</t>
  </si>
  <si>
    <t>Leydi diana amiga</t>
  </si>
  <si>
    <t>922 039 962</t>
  </si>
  <si>
    <t>999 399 564</t>
  </si>
  <si>
    <t>Alberto Gamboa</t>
  </si>
  <si>
    <t>996 321 458</t>
  </si>
  <si>
    <t>Luis Manuel Zárate Rodríguez</t>
  </si>
  <si>
    <t xml:space="preserve"> 996 333 318</t>
  </si>
  <si>
    <t xml:space="preserve">Limpieza de granito </t>
  </si>
  <si>
    <t xml:space="preserve">Javier papa de Diana </t>
  </si>
  <si>
    <t>971 149 302</t>
  </si>
  <si>
    <t xml:space="preserve">Clase modelo de 4 horas </t>
  </si>
  <si>
    <t>Rene Vera</t>
  </si>
  <si>
    <t>958 934 083</t>
  </si>
  <si>
    <t>Visita paredes</t>
  </si>
  <si>
    <t>kamila Atanacio Nuñez</t>
  </si>
  <si>
    <t>971 089 933</t>
  </si>
  <si>
    <t>Resolución de tarea</t>
  </si>
  <si>
    <t>Resolucion de trabajo</t>
  </si>
  <si>
    <t>Grupo Serminco SAC</t>
  </si>
  <si>
    <t>930 955 163</t>
  </si>
  <si>
    <t>Dina</t>
  </si>
  <si>
    <t>991 392 324</t>
  </si>
  <si>
    <t>Paquete 10hr</t>
  </si>
  <si>
    <t>Henry Alvarado</t>
  </si>
  <si>
    <t>924595115</t>
  </si>
  <si>
    <t>Rolfo Sánchez</t>
  </si>
  <si>
    <t>998410086</t>
  </si>
  <si>
    <t>Bryan Honor</t>
  </si>
  <si>
    <t>944 187 014</t>
  </si>
  <si>
    <t>paquete 30hr</t>
  </si>
  <si>
    <t xml:space="preserve">richard </t>
  </si>
  <si>
    <t xml:space="preserve">Raul Andrade </t>
  </si>
  <si>
    <t>987 586 144</t>
  </si>
  <si>
    <t>Orlando</t>
  </si>
  <si>
    <t>989 251 385</t>
  </si>
  <si>
    <t>Flor mamá de Gabriel Fernández</t>
  </si>
  <si>
    <t>8888 2033</t>
  </si>
  <si>
    <t>Clase modelo 2 hrs</t>
  </si>
  <si>
    <t>luis aguilar</t>
  </si>
  <si>
    <t>922 413 697</t>
  </si>
  <si>
    <t>clase modelo 2hrs</t>
  </si>
  <si>
    <t xml:space="preserve">Manuel Armas </t>
  </si>
  <si>
    <t>Paquete de 30 hrs</t>
  </si>
  <si>
    <t xml:space="preserve">Arienne </t>
  </si>
  <si>
    <t>622 39 93 36</t>
  </si>
  <si>
    <t>Esteban Cortez</t>
  </si>
  <si>
    <t>969 498 894</t>
  </si>
  <si>
    <t xml:space="preserve"> Belen Sanchez</t>
  </si>
  <si>
    <t>932 084 375</t>
  </si>
  <si>
    <t>Página web modelo</t>
  </si>
  <si>
    <t>paquete de 10 horas</t>
  </si>
  <si>
    <t>Limpieza de moho</t>
  </si>
  <si>
    <t>limpieza de piso</t>
  </si>
  <si>
    <t>Hector papá de Nicolás Paredes</t>
  </si>
  <si>
    <t>310 8672677</t>
  </si>
  <si>
    <t>Lucía Patricia Wiesse Risso</t>
  </si>
  <si>
    <t>995 287 788</t>
  </si>
  <si>
    <t>paquete de 7 horas</t>
  </si>
  <si>
    <t>Lourdes mama de Ross Benjamín Acosta</t>
  </si>
  <si>
    <t>999 924 942</t>
  </si>
  <si>
    <t>paquete 20h</t>
  </si>
  <si>
    <t>Ericka Medrano</t>
  </si>
  <si>
    <t>995 588 524</t>
  </si>
  <si>
    <t>Washington</t>
  </si>
  <si>
    <t>998 963 225</t>
  </si>
  <si>
    <t>Asesoría</t>
  </si>
  <si>
    <t>Ivan papa de Ashley Horna Castillo</t>
  </si>
  <si>
    <t>958 483 733</t>
  </si>
  <si>
    <t>Paquete de 10h</t>
  </si>
  <si>
    <t xml:space="preserve"> Betsy Segura Aguirre </t>
  </si>
  <si>
    <t xml:space="preserve"> 953314828</t>
  </si>
  <si>
    <t xml:space="preserve">Limpieza Profunda </t>
  </si>
  <si>
    <t>Independencia</t>
  </si>
  <si>
    <t>sylvia rodas</t>
  </si>
  <si>
    <t>987820629</t>
  </si>
  <si>
    <t>Margarita Galvez</t>
  </si>
  <si>
    <t>990 412 549</t>
  </si>
  <si>
    <t>Lidia Jiménez</t>
  </si>
  <si>
    <t>910 503 599</t>
  </si>
  <si>
    <t>sandra ponce</t>
  </si>
  <si>
    <t>941 599 872</t>
  </si>
  <si>
    <t>Cynthia Yáñez</t>
  </si>
  <si>
    <t>922 973 361</t>
  </si>
  <si>
    <t>Cinthia LLorely Garcia Reyes</t>
  </si>
  <si>
    <t>918 924 081</t>
  </si>
  <si>
    <t>Mova Ingenieros del</t>
  </si>
  <si>
    <t>991 336 908</t>
  </si>
  <si>
    <t xml:space="preserve">limpieza de pisos </t>
  </si>
  <si>
    <t>Carlos Paredes</t>
  </si>
  <si>
    <t>963 820 168</t>
  </si>
  <si>
    <t>Paquete 60h</t>
  </si>
  <si>
    <t>Fernando Huillca</t>
  </si>
  <si>
    <t>914 596 980</t>
  </si>
  <si>
    <t>Marisol</t>
  </si>
  <si>
    <t>997 826 739</t>
  </si>
  <si>
    <t>Catalina</t>
  </si>
  <si>
    <t>993 151 774</t>
  </si>
  <si>
    <t>luciana</t>
  </si>
  <si>
    <t>994 687 686</t>
  </si>
  <si>
    <t>clase modelo 3 horas</t>
  </si>
  <si>
    <t>Jose Maria</t>
  </si>
  <si>
    <t>975 335 883</t>
  </si>
  <si>
    <t>Kori Dextre</t>
  </si>
  <si>
    <t xml:space="preserve"> 996 998 549</t>
  </si>
  <si>
    <t xml:space="preserve">Ventanas </t>
  </si>
  <si>
    <t xml:space="preserve">limpieza de ventanas </t>
  </si>
  <si>
    <t xml:space="preserve">Mamá de Maria </t>
  </si>
  <si>
    <t>977 520 942</t>
  </si>
  <si>
    <t>Rocio Alvarez Medin</t>
  </si>
  <si>
    <t>994043031</t>
  </si>
  <si>
    <t>Marvin</t>
  </si>
  <si>
    <t>952 646 439</t>
  </si>
  <si>
    <t>Iván Vásquez</t>
  </si>
  <si>
    <t>992 066 022</t>
  </si>
  <si>
    <t xml:space="preserve">Guillermo castro </t>
  </si>
  <si>
    <t>993 278 451</t>
  </si>
  <si>
    <t>Alonso de la Fuente</t>
  </si>
  <si>
    <t>998 503 420</t>
  </si>
  <si>
    <t>Lorena Dueñas</t>
  </si>
  <si>
    <t>961 739 060</t>
  </si>
  <si>
    <t>934252487</t>
  </si>
  <si>
    <t>Esteban</t>
  </si>
  <si>
    <t>997 678 599</t>
  </si>
  <si>
    <t>RESOLUCIÓN CLASE</t>
  </si>
  <si>
    <t>Andre</t>
  </si>
  <si>
    <t>936 004 748</t>
  </si>
  <si>
    <t>Paquete 30hr</t>
  </si>
  <si>
    <t>Freddy R</t>
  </si>
  <si>
    <t>922 047 546</t>
  </si>
  <si>
    <t xml:space="preserve">Giovana </t>
  </si>
  <si>
    <t xml:space="preserve"> 975 496 120</t>
  </si>
  <si>
    <t>Resolucion de examen</t>
  </si>
  <si>
    <t>MAGALI</t>
  </si>
  <si>
    <t>943631390</t>
  </si>
  <si>
    <t xml:space="preserve">Clase modelo </t>
  </si>
  <si>
    <t>otilia guajardo</t>
  </si>
  <si>
    <t>992 286 111</t>
  </si>
  <si>
    <t>limpieza muebles</t>
  </si>
  <si>
    <t>Callao</t>
  </si>
  <si>
    <t>Julia Sacerdoti</t>
  </si>
  <si>
    <t>34 681 13 46 03</t>
  </si>
  <si>
    <t>Clase Modelo</t>
  </si>
  <si>
    <t>Micaela Maio Sedano</t>
  </si>
  <si>
    <t>914 664 571</t>
  </si>
  <si>
    <t>990 051 018</t>
  </si>
  <si>
    <t>temozolamida x2</t>
  </si>
  <si>
    <t>Resolucion de ensayo</t>
  </si>
  <si>
    <t>Yuliya KURBATOVA</t>
  </si>
  <si>
    <t>3228852994</t>
  </si>
  <si>
    <t>Cristhian Antonio Verastegui</t>
  </si>
  <si>
    <t>988 726 440</t>
  </si>
  <si>
    <t>clase modelo 2h</t>
  </si>
  <si>
    <t>Liliana</t>
  </si>
  <si>
    <t>993 181 400</t>
  </si>
  <si>
    <t>César Durand</t>
  </si>
  <si>
    <t>992 793 174</t>
  </si>
  <si>
    <t>clase renovacion paquete 10 hr</t>
  </si>
  <si>
    <t>Valeria</t>
  </si>
  <si>
    <t>949 687 392</t>
  </si>
  <si>
    <t>4hr</t>
  </si>
  <si>
    <t>Ysaac papá de Valeria</t>
  </si>
  <si>
    <t xml:space="preserve"> 956 016 433</t>
  </si>
  <si>
    <t>Celeste Ponce Gonzales</t>
  </si>
  <si>
    <t>976 632 570</t>
  </si>
  <si>
    <t>luis josé</t>
  </si>
  <si>
    <t>973 066 774</t>
  </si>
  <si>
    <t>Alexis</t>
  </si>
  <si>
    <t>956760096</t>
  </si>
  <si>
    <t>Edgar</t>
  </si>
  <si>
    <t>942 924 248</t>
  </si>
  <si>
    <t>Milagros Dávila</t>
  </si>
  <si>
    <t>991 783 241</t>
  </si>
  <si>
    <t>visita Moho</t>
  </si>
  <si>
    <t>Daniel</t>
  </si>
  <si>
    <t xml:space="preserve"> 940 243 341</t>
  </si>
  <si>
    <t>Limpieza de paredes</t>
  </si>
  <si>
    <t xml:space="preserve">Guillermo </t>
  </si>
  <si>
    <t>993278451</t>
  </si>
  <si>
    <t>Malena</t>
  </si>
  <si>
    <t>959 135 503</t>
  </si>
  <si>
    <t>Manuel</t>
  </si>
  <si>
    <t>942 625 968</t>
  </si>
  <si>
    <t>Paquete 20hrs</t>
  </si>
  <si>
    <t>Eduardo Carrasco</t>
  </si>
  <si>
    <t>992 675 799</t>
  </si>
  <si>
    <t>limpieza profunda ventanas</t>
  </si>
  <si>
    <t>Stella Mohme</t>
  </si>
  <si>
    <t>997 582 589</t>
  </si>
  <si>
    <t>MariCarmen</t>
  </si>
  <si>
    <t xml:space="preserve"> 998 700 231</t>
  </si>
  <si>
    <t>Milagros Davila</t>
  </si>
  <si>
    <t>Diego Torres</t>
  </si>
  <si>
    <t>967 315 654</t>
  </si>
  <si>
    <t>asesoria</t>
  </si>
  <si>
    <t>paquete 30 horas</t>
  </si>
  <si>
    <t>997582589</t>
  </si>
  <si>
    <t>Limpieza de humedad</t>
  </si>
  <si>
    <t>Juan</t>
  </si>
  <si>
    <t>Katia Carrera</t>
  </si>
  <si>
    <t>998 434 294</t>
  </si>
  <si>
    <t>PAOLA VELARDE</t>
  </si>
  <si>
    <t>(416) 271-7632</t>
  </si>
  <si>
    <t>VISITA TECNICA</t>
  </si>
  <si>
    <t>Martha Rodriguez</t>
  </si>
  <si>
    <t>934 336 152</t>
  </si>
  <si>
    <t>THAÍS SALAVERRY</t>
  </si>
  <si>
    <t>968 264 856</t>
  </si>
  <si>
    <t>CLASE MODELO</t>
  </si>
  <si>
    <t>Frank PUCP</t>
  </si>
  <si>
    <t>916 137 025</t>
  </si>
  <si>
    <t>Emma Lorena Huamamchumo</t>
  </si>
  <si>
    <t>926 900 718</t>
  </si>
  <si>
    <t>MINI PAQUETE 4 HORAS</t>
  </si>
  <si>
    <t>Alberto vela</t>
  </si>
  <si>
    <t>986274949</t>
  </si>
  <si>
    <t>Limpieza de ventanas</t>
  </si>
  <si>
    <t>Jeferson Mendoza</t>
  </si>
  <si>
    <t>975 766 975</t>
  </si>
  <si>
    <t>Mayra</t>
  </si>
  <si>
    <t>982 172 258</t>
  </si>
  <si>
    <t>Limpieza departamento, muebles y colchones</t>
  </si>
  <si>
    <t>923 755 160</t>
  </si>
  <si>
    <t>Nicolas Guevara</t>
  </si>
  <si>
    <t>1 727 647-2362</t>
  </si>
  <si>
    <t>Paquete 20 hrs</t>
  </si>
  <si>
    <t>Fiorela vilchez Arévalo</t>
  </si>
  <si>
    <t>992 801 529</t>
  </si>
  <si>
    <t>Melissa</t>
  </si>
  <si>
    <t>929 405 403</t>
  </si>
  <si>
    <t>Federico Villarreal</t>
  </si>
  <si>
    <t>959 045 519</t>
  </si>
  <si>
    <t>Fabiola</t>
  </si>
  <si>
    <t>944 739 981</t>
  </si>
  <si>
    <t>Yvan Marquezado</t>
  </si>
  <si>
    <t>997599451</t>
  </si>
  <si>
    <t>Arnaldo Rénique</t>
  </si>
  <si>
    <t>985 075 940</t>
  </si>
  <si>
    <t>limpieza cuarto</t>
  </si>
  <si>
    <t>Celia Pajares</t>
  </si>
  <si>
    <t>998 807 822</t>
  </si>
  <si>
    <t>Camilo Astete</t>
  </si>
  <si>
    <t>958 493 767</t>
  </si>
  <si>
    <t>Limpieza domestica</t>
  </si>
  <si>
    <t>Eva Mejia</t>
  </si>
  <si>
    <t>941 431 015</t>
  </si>
  <si>
    <t>PQ 10 horas</t>
  </si>
  <si>
    <t>Yeraldine</t>
  </si>
  <si>
    <t>917 873 979</t>
  </si>
  <si>
    <t>Resolucion de trabajos</t>
  </si>
  <si>
    <t>Francesca</t>
  </si>
  <si>
    <t>997569674</t>
  </si>
  <si>
    <t>Jorge para de Alfonsina Rubio</t>
  </si>
  <si>
    <t>959 397 264</t>
  </si>
  <si>
    <t xml:space="preserve">Vitaly </t>
  </si>
  <si>
    <t>923 287 717</t>
  </si>
  <si>
    <t>Paredes</t>
  </si>
  <si>
    <t>Piero Gandolfo</t>
  </si>
  <si>
    <t>967 287 324</t>
  </si>
  <si>
    <t>Mariafé thomas</t>
  </si>
  <si>
    <t>994 075 177</t>
  </si>
  <si>
    <t xml:space="preserve">Giuliana mamá de Arllete Ruiz </t>
  </si>
  <si>
    <t xml:space="preserve"> 934 991 071</t>
  </si>
  <si>
    <t xml:space="preserve">calse modelo </t>
  </si>
  <si>
    <t>Hna Gabriela</t>
  </si>
  <si>
    <t>956 655 732</t>
  </si>
  <si>
    <t>Dayana campos</t>
  </si>
  <si>
    <t>933568055</t>
  </si>
  <si>
    <t>Cercado de Lima</t>
  </si>
  <si>
    <t>Emma Lorena</t>
  </si>
  <si>
    <t>Evita mamá de Pedro Criado</t>
  </si>
  <si>
    <t>993 055 691</t>
  </si>
  <si>
    <t>Claudia Canepa - Mirando Cordova</t>
  </si>
  <si>
    <t>997 423 587</t>
  </si>
  <si>
    <t>Mónica Fernández</t>
  </si>
  <si>
    <t>994 226 082</t>
  </si>
  <si>
    <t>Miguel</t>
  </si>
  <si>
    <t>999 834 596</t>
  </si>
  <si>
    <t>Fiorella Arévalo</t>
  </si>
  <si>
    <t xml:space="preserve">voriconazol 200 mg </t>
  </si>
  <si>
    <t>Robinson</t>
  </si>
  <si>
    <t>958 086 748</t>
  </si>
  <si>
    <t>firma abogado</t>
  </si>
  <si>
    <t>Daniel Montalvo Roe</t>
  </si>
  <si>
    <t>936 001 093</t>
  </si>
  <si>
    <t>Christian</t>
  </si>
  <si>
    <t>993 738 081</t>
  </si>
  <si>
    <t>Francisco Chavez Rondoy</t>
  </si>
  <si>
    <t>980 630 796</t>
  </si>
  <si>
    <t>Moho</t>
  </si>
  <si>
    <t>Jair Barrantes</t>
  </si>
  <si>
    <t>987 141 509</t>
  </si>
  <si>
    <t>Cinthia</t>
  </si>
  <si>
    <t xml:space="preserve"> 91892408</t>
  </si>
  <si>
    <t>Pago de segunda parte de paquete</t>
  </si>
  <si>
    <t>Isabel</t>
  </si>
  <si>
    <t>941 832 672</t>
  </si>
  <si>
    <t>991 144 294</t>
  </si>
  <si>
    <t>Lourdes mamá de Alessandro Carrera</t>
  </si>
  <si>
    <t>951 511 244</t>
  </si>
  <si>
    <t>Rosario Bernaola</t>
  </si>
  <si>
    <t>994 296 907</t>
  </si>
  <si>
    <t>limpieza campanas</t>
  </si>
  <si>
    <t>Rina Zegarra</t>
  </si>
  <si>
    <t>949 900 762</t>
  </si>
  <si>
    <t>Logo Premium</t>
  </si>
  <si>
    <t xml:space="preserve">Blanca Bernal </t>
  </si>
  <si>
    <t>970 056 471</t>
  </si>
  <si>
    <t>Papa Lorena Garcia</t>
  </si>
  <si>
    <t>987 530 259</t>
  </si>
  <si>
    <t>Paquete 30 hrs</t>
  </si>
  <si>
    <t xml:space="preserve">Raul Gutierrez </t>
  </si>
  <si>
    <t>954 119 999</t>
  </si>
  <si>
    <t>mario barbier</t>
  </si>
  <si>
    <t>996 572 314</t>
  </si>
  <si>
    <t>Amparo mamá de Mariano Estremadoyro</t>
  </si>
  <si>
    <t xml:space="preserve"> 987 088 740</t>
  </si>
  <si>
    <t>clase modelo 2 horas pedagógicas</t>
  </si>
  <si>
    <t>967 744 117</t>
  </si>
  <si>
    <t>diseño de video carta presenctación</t>
  </si>
  <si>
    <t>Nicole</t>
  </si>
  <si>
    <t>971 583 864</t>
  </si>
  <si>
    <t>Franklin PG</t>
  </si>
  <si>
    <t>946 374 850</t>
  </si>
  <si>
    <t>Visita Huachipa</t>
  </si>
  <si>
    <t>Maite sembrera Esquén</t>
  </si>
  <si>
    <t>913 312 220</t>
  </si>
  <si>
    <t>Jesus Angulo</t>
  </si>
  <si>
    <t>949 915 835</t>
  </si>
  <si>
    <t>Cortes</t>
  </si>
  <si>
    <t xml:space="preserve">Mariano </t>
  </si>
  <si>
    <t>989 125 612</t>
  </si>
  <si>
    <t>Giuliana</t>
  </si>
  <si>
    <t>920 296 371</t>
  </si>
  <si>
    <t>Mama Juan Pablo</t>
  </si>
  <si>
    <t>999 406 280</t>
  </si>
  <si>
    <t>paquete 10hr</t>
  </si>
  <si>
    <t>Kamila</t>
  </si>
  <si>
    <t>resolucion de trabajos</t>
  </si>
  <si>
    <t xml:space="preserve">David </t>
  </si>
  <si>
    <t>924 121 170</t>
  </si>
  <si>
    <t>Visita tecnica 0</t>
  </si>
  <si>
    <t>953 758 961</t>
  </si>
  <si>
    <t>Tramadol ampolla x4</t>
  </si>
  <si>
    <t>Zayury</t>
  </si>
  <si>
    <t>995 093 896</t>
  </si>
  <si>
    <t>PQ 10 h</t>
  </si>
  <si>
    <t>Jose papá de André</t>
  </si>
  <si>
    <t>933 573 630</t>
  </si>
  <si>
    <t>Paquete 30 hr</t>
  </si>
  <si>
    <t>José Luis Macedo</t>
  </si>
  <si>
    <t>997 928 906</t>
  </si>
  <si>
    <t>902 251 475</t>
  </si>
  <si>
    <t>Capecitabina x3 blister</t>
  </si>
  <si>
    <t>Edgar J. Bühlmann Novaro</t>
  </si>
  <si>
    <t>41 78 677 31 83</t>
  </si>
  <si>
    <t>José Vergara</t>
  </si>
  <si>
    <t>993213440</t>
  </si>
  <si>
    <t>Nataly</t>
  </si>
  <si>
    <t>913 447 687</t>
  </si>
  <si>
    <t xml:space="preserve">Fiorela Arevalo </t>
  </si>
  <si>
    <t>Adriana Diaz</t>
  </si>
  <si>
    <t>967 204 714</t>
  </si>
  <si>
    <t>Limpieza profunda departamento 220m2</t>
  </si>
  <si>
    <t>Alfredo Esparza</t>
  </si>
  <si>
    <t>961 786 611</t>
  </si>
  <si>
    <t>Diana Vargas</t>
  </si>
  <si>
    <t>981 152 792</t>
  </si>
  <si>
    <t>Carla Torres</t>
  </si>
  <si>
    <t>993 557 709</t>
  </si>
  <si>
    <t>Cecilia mamá de Mayra Lopez</t>
  </si>
  <si>
    <t>948702217</t>
  </si>
  <si>
    <t>Graciela Burkli</t>
  </si>
  <si>
    <t>999 229 442</t>
  </si>
  <si>
    <t>vapor</t>
  </si>
  <si>
    <t>999340204</t>
  </si>
  <si>
    <t>Limpieza profunda de casa de 180m2</t>
  </si>
  <si>
    <t>Génesis Aguinaga</t>
  </si>
  <si>
    <t xml:space="preserve">Parte de pago del paquete  </t>
  </si>
  <si>
    <t>Micaela</t>
  </si>
  <si>
    <t>914664571</t>
  </si>
  <si>
    <t>Juan Francisco castillo</t>
  </si>
  <si>
    <t>955671094</t>
  </si>
  <si>
    <t>Edith</t>
  </si>
  <si>
    <t>992 461 379</t>
  </si>
  <si>
    <t>Maryori Garcia Tenorio</t>
  </si>
  <si>
    <t>912 801 399</t>
  </si>
  <si>
    <t xml:space="preserve">Carlos papá de Daria Pastor </t>
  </si>
  <si>
    <t>997 078 025</t>
  </si>
  <si>
    <t>CECILIA mama de Mayra Lopez</t>
  </si>
  <si>
    <t>948 702 217</t>
  </si>
  <si>
    <t>949 702 217</t>
  </si>
  <si>
    <t xml:space="preserve"> 997 078 025</t>
  </si>
  <si>
    <t>Sunyta mamá de Gianella</t>
  </si>
  <si>
    <t>Arturo</t>
  </si>
  <si>
    <t>940 206 947</t>
  </si>
  <si>
    <t>Alexander Barbat</t>
  </si>
  <si>
    <t>970 850 913</t>
  </si>
  <si>
    <t>Ethel Torres</t>
  </si>
  <si>
    <t>987313934</t>
  </si>
  <si>
    <t>Cristian Aranda</t>
  </si>
  <si>
    <t>980 724 981</t>
  </si>
  <si>
    <t>100</t>
  </si>
  <si>
    <t>alexander trujillo</t>
  </si>
  <si>
    <t>979 330 571</t>
  </si>
  <si>
    <t>limpieza domestica</t>
  </si>
  <si>
    <t>Voriconazol 200mg x2</t>
  </si>
  <si>
    <t>César Ojeda</t>
  </si>
  <si>
    <t>922 388 116</t>
  </si>
  <si>
    <t>Limpieza profunda</t>
  </si>
  <si>
    <t xml:space="preserve">Paquetes de 10 horas </t>
  </si>
  <si>
    <t>917 006 800</t>
  </si>
  <si>
    <t>Esther Miso Eum Han</t>
  </si>
  <si>
    <t>981 281 818</t>
  </si>
  <si>
    <t>visita moho</t>
  </si>
  <si>
    <t>Diego</t>
  </si>
  <si>
    <t>922 549 388</t>
  </si>
  <si>
    <t>Raul Gonzales</t>
  </si>
  <si>
    <t>997 839 669</t>
  </si>
  <si>
    <t>Nicole Kierszenblat</t>
  </si>
  <si>
    <t>paquete 10 hr</t>
  </si>
  <si>
    <t>Ross</t>
  </si>
  <si>
    <t>Paquete 2do pago</t>
  </si>
  <si>
    <t>Maria Arizmendi Tovar</t>
  </si>
  <si>
    <t>986 821 322</t>
  </si>
  <si>
    <t>2 alfombras</t>
  </si>
  <si>
    <t>Eddie Chen Huang</t>
  </si>
  <si>
    <t>968 176 300</t>
  </si>
  <si>
    <t>Pq 10 horas</t>
  </si>
  <si>
    <t>Carlos</t>
  </si>
  <si>
    <t>923 779 337</t>
  </si>
  <si>
    <t>Limpieza de sillas</t>
  </si>
  <si>
    <t>Alex Borjas</t>
  </si>
  <si>
    <t>991136223</t>
  </si>
  <si>
    <t>paquete10 hr</t>
  </si>
  <si>
    <t xml:space="preserve"> Nathalie Paredes</t>
  </si>
  <si>
    <t>913949691</t>
  </si>
  <si>
    <t>FREDY VARGA SLOPEZ</t>
  </si>
  <si>
    <t>995 244 512</t>
  </si>
  <si>
    <t>Lurin</t>
  </si>
  <si>
    <t>Patricia Acuña</t>
  </si>
  <si>
    <t>999970026</t>
  </si>
  <si>
    <t>Consuelo mamá de Leopoldo Vega Vidal</t>
  </si>
  <si>
    <t>998 071 790</t>
  </si>
  <si>
    <t xml:space="preserve">Kike </t>
  </si>
  <si>
    <t>993 469 823</t>
  </si>
  <si>
    <t>Elisa mamá de Sergio Gallardo</t>
  </si>
  <si>
    <t>922 294 255</t>
  </si>
  <si>
    <t xml:space="preserve">Domenico </t>
  </si>
  <si>
    <t>946 227 272</t>
  </si>
  <si>
    <t>Gisella-Angely</t>
  </si>
  <si>
    <t>937 245 316</t>
  </si>
  <si>
    <t>Jorge Navarrete</t>
  </si>
  <si>
    <t>999 665 164</t>
  </si>
  <si>
    <t>Giancarlo</t>
  </si>
  <si>
    <t>949 721 487</t>
  </si>
  <si>
    <t>Visita Moho</t>
  </si>
  <si>
    <t>Jeremy Vicaña</t>
  </si>
  <si>
    <t>995647030</t>
  </si>
  <si>
    <t xml:space="preserve">visita piso falso </t>
  </si>
  <si>
    <t xml:space="preserve">joaquin ohara </t>
  </si>
  <si>
    <t>941 825 024</t>
  </si>
  <si>
    <t>paquete de 20 horas</t>
  </si>
  <si>
    <t>teresa mamá de sebastian Moncada</t>
  </si>
  <si>
    <t>999 222 712</t>
  </si>
  <si>
    <t>Davide magnani</t>
  </si>
  <si>
    <t>960 176 603</t>
  </si>
  <si>
    <t xml:space="preserve">Jorge papá de Alfonsina </t>
  </si>
  <si>
    <t>paquete de 30 horas (primer pago)</t>
  </si>
  <si>
    <t xml:space="preserve"> Fresia Soriano Preciado</t>
  </si>
  <si>
    <t>989 847 959</t>
  </si>
  <si>
    <t>Paola Cristina Alba Morales</t>
  </si>
  <si>
    <t>904884838</t>
  </si>
  <si>
    <t>Carmen Contreras</t>
  </si>
  <si>
    <t>994 291 509</t>
  </si>
  <si>
    <t>María Jara</t>
  </si>
  <si>
    <t>972 539 378</t>
  </si>
  <si>
    <t>Josefina Ubillus</t>
  </si>
  <si>
    <t>954742163</t>
  </si>
  <si>
    <t>María Cristina</t>
  </si>
  <si>
    <t>969 605 544</t>
  </si>
  <si>
    <t>QEMA LIMA S.A.C</t>
  </si>
  <si>
    <t>912 270 448</t>
  </si>
  <si>
    <t xml:space="preserve">Visita </t>
  </si>
  <si>
    <t>Frency LLancay Albites</t>
  </si>
  <si>
    <t>941379134</t>
  </si>
  <si>
    <t>Bryan Zeballos Ponce de Leon</t>
  </si>
  <si>
    <t>993 641 005</t>
  </si>
  <si>
    <t>Luis papá de Sara</t>
  </si>
  <si>
    <t>301 7902170</t>
  </si>
  <si>
    <t>Marcia Barreda</t>
  </si>
  <si>
    <t>997889449</t>
  </si>
  <si>
    <t>Paquete</t>
  </si>
  <si>
    <t>MARIA Morales</t>
  </si>
  <si>
    <t>998 198 385</t>
  </si>
  <si>
    <t>Paola</t>
  </si>
  <si>
    <t>975 510 709</t>
  </si>
  <si>
    <t>Nara Gargurevich Sanchez</t>
  </si>
  <si>
    <t>990 958 996</t>
  </si>
  <si>
    <t>resolución de tarea</t>
  </si>
  <si>
    <t>Huachipa</t>
  </si>
  <si>
    <t>Heidy Tomas</t>
  </si>
  <si>
    <t>996 574 060</t>
  </si>
  <si>
    <t>Daniela mamá de  Joel Araiza</t>
  </si>
  <si>
    <t>1 624 157 9501</t>
  </si>
  <si>
    <t>Luis Mora</t>
  </si>
  <si>
    <t xml:space="preserve">paquete de 4 horas </t>
  </si>
  <si>
    <t>Luciana Langberg</t>
  </si>
  <si>
    <t>981880996</t>
  </si>
  <si>
    <t>Ricardo Izquierdo</t>
  </si>
  <si>
    <t>997 889 274</t>
  </si>
  <si>
    <t>Daniel Abisaid Basaldua Ñato</t>
  </si>
  <si>
    <t>980 710 879</t>
  </si>
  <si>
    <t>Profesordematematicas.net.pe</t>
  </si>
  <si>
    <t>Jackelyn</t>
  </si>
  <si>
    <t>992 698 562</t>
  </si>
  <si>
    <t>GIMENA RAMOS</t>
  </si>
  <si>
    <t>940239731</t>
  </si>
  <si>
    <t xml:space="preserve">limpieza a vapor </t>
  </si>
  <si>
    <t>Ursula Gomez</t>
  </si>
  <si>
    <t>997 102 358</t>
  </si>
  <si>
    <t>Jose Palacios</t>
  </si>
  <si>
    <t>Daniel Chavez</t>
  </si>
  <si>
    <t>959 655 232</t>
  </si>
  <si>
    <t>Víctor Agama Rodríguez</t>
  </si>
  <si>
    <t>999 555 294</t>
  </si>
  <si>
    <t xml:space="preserve">domenico </t>
  </si>
  <si>
    <t xml:space="preserve">Ricardo Josue Sulca Solano </t>
  </si>
  <si>
    <t>907801080</t>
  </si>
  <si>
    <t>Clase de reforzamiento</t>
  </si>
  <si>
    <t>Yahaira</t>
  </si>
  <si>
    <t xml:space="preserve">Joyce </t>
  </si>
  <si>
    <t>983456025</t>
  </si>
  <si>
    <t>RODRIGO</t>
  </si>
  <si>
    <t>51 996 376 705</t>
  </si>
  <si>
    <t xml:space="preserve">Alexandra </t>
  </si>
  <si>
    <t>957 118 694</t>
  </si>
  <si>
    <t>Daniela Ceseña (Erick y Dani)</t>
  </si>
  <si>
    <t>624 157 9501</t>
  </si>
  <si>
    <t xml:space="preserve">paquete de 40 horas </t>
  </si>
  <si>
    <t xml:space="preserve">paquete de 90 horas </t>
  </si>
  <si>
    <t>940 160 337</t>
  </si>
  <si>
    <t>resolucion de tarea</t>
  </si>
  <si>
    <t>Flor Fernández</t>
  </si>
  <si>
    <t>995 787 770</t>
  </si>
  <si>
    <t>limpieza a vapor</t>
  </si>
  <si>
    <t>Rafael Naupari</t>
  </si>
  <si>
    <t>989078139</t>
  </si>
  <si>
    <t>RICARDO IZQUIERDO</t>
  </si>
  <si>
    <t>Limpieza de mueble 3-2-1</t>
  </si>
  <si>
    <t xml:space="preserve">Pamela </t>
  </si>
  <si>
    <t>986 931 426</t>
  </si>
  <si>
    <t>Luis Mora papá de Sara mora</t>
  </si>
  <si>
    <t>Alvaro garcia</t>
  </si>
  <si>
    <t>986450760</t>
  </si>
  <si>
    <t>LIMPIEZA TIPO 2</t>
  </si>
  <si>
    <t>Karina Salas</t>
  </si>
  <si>
    <t>986867314</t>
  </si>
  <si>
    <t>Cesar Marquez Mares.</t>
  </si>
  <si>
    <t>973393854</t>
  </si>
  <si>
    <t>limpieza agresiva</t>
  </si>
  <si>
    <t>PATRICIA</t>
  </si>
  <si>
    <t>913 395 167</t>
  </si>
  <si>
    <t>CLASE modelo</t>
  </si>
  <si>
    <t>900557803</t>
  </si>
  <si>
    <t>María Sulca</t>
  </si>
  <si>
    <t>961036677</t>
  </si>
  <si>
    <t>Mauricio</t>
  </si>
  <si>
    <t xml:space="preserve">mario </t>
  </si>
  <si>
    <t>932591870</t>
  </si>
  <si>
    <t>Reme</t>
  </si>
  <si>
    <t>667 03 53 86</t>
  </si>
  <si>
    <t>Carmen vega</t>
  </si>
  <si>
    <t>988581214</t>
  </si>
  <si>
    <t xml:space="preserve">primer pago de limpieza profunda </t>
  </si>
  <si>
    <t>9 7997 9015</t>
  </si>
  <si>
    <t>PAQUETE 10 HORAS</t>
  </si>
  <si>
    <t>10 7997 9015</t>
  </si>
  <si>
    <t>Barbara Quispitupa</t>
  </si>
  <si>
    <t>922743356</t>
  </si>
  <si>
    <t>Dana</t>
  </si>
  <si>
    <t>995 977 222</t>
  </si>
  <si>
    <t>PAQUETE 20 HORAS</t>
  </si>
  <si>
    <t xml:space="preserve">segundo pago limpieza profunda </t>
  </si>
  <si>
    <t xml:space="preserve">Juan Luis </t>
  </si>
  <si>
    <t>973 736 932</t>
  </si>
  <si>
    <t>visita tecnica pisos</t>
  </si>
  <si>
    <t>José Alejandro Landavery</t>
  </si>
  <si>
    <t>994 073 263</t>
  </si>
  <si>
    <t>Clemente Flores</t>
  </si>
  <si>
    <t>996130309</t>
  </si>
  <si>
    <t xml:space="preserve">Logos Premium </t>
  </si>
  <si>
    <t>Carlos Machado</t>
  </si>
  <si>
    <t>999 035 679</t>
  </si>
  <si>
    <t>Luz Maria</t>
  </si>
  <si>
    <t>34645669101</t>
  </si>
  <si>
    <t>Erlinda</t>
  </si>
  <si>
    <t>993 422 772</t>
  </si>
  <si>
    <t xml:space="preserve">Paquete 20h </t>
  </si>
  <si>
    <t>Alejandra</t>
  </si>
  <si>
    <t>970 524 000</t>
  </si>
  <si>
    <t>Paquete de 20h</t>
  </si>
  <si>
    <t xml:space="preserve">Luz Rubio </t>
  </si>
  <si>
    <t>980877559</t>
  </si>
  <si>
    <t>LIMPIEZA 1ALFOMBRA 13*13</t>
  </si>
  <si>
    <t>Felipe Danjoy campos</t>
  </si>
  <si>
    <t>999 448 971</t>
  </si>
  <si>
    <t>Malena Fuentes</t>
  </si>
  <si>
    <t>980 376 391</t>
  </si>
  <si>
    <t>Visita Técnica Moho</t>
  </si>
  <si>
    <t>Rodrigo verastegui</t>
  </si>
  <si>
    <t>992330518</t>
  </si>
  <si>
    <t>Beatriz Cabañas</t>
  </si>
  <si>
    <t>LIMPIEZA 2 COLCHONES TIPO 3</t>
  </si>
  <si>
    <t>Ronald Valencia</t>
  </si>
  <si>
    <t>976 902 564</t>
  </si>
  <si>
    <t>Visita Técnica Piso</t>
  </si>
  <si>
    <t xml:space="preserve">Anna </t>
  </si>
  <si>
    <t>visita tecnica de piso</t>
  </si>
  <si>
    <t xml:space="preserve">                     PATRICIA </t>
  </si>
  <si>
    <t>994590559</t>
  </si>
  <si>
    <t xml:space="preserve">LIMPIEZA TIPO 2 </t>
  </si>
  <si>
    <t xml:space="preserve">jose </t>
  </si>
  <si>
    <t>916 600 681</t>
  </si>
  <si>
    <t>ASESORIA</t>
  </si>
  <si>
    <t>Caso Pollito</t>
  </si>
  <si>
    <t>977 616 748</t>
  </si>
  <si>
    <t>2 BLISTERVoriconazol</t>
  </si>
  <si>
    <t>Luz Castillo</t>
  </si>
  <si>
    <t>993 154 914</t>
  </si>
  <si>
    <t>LIMPIEZA TIPO 2 PROFUNDA</t>
  </si>
  <si>
    <t>Jiri Zatopek</t>
  </si>
  <si>
    <t>961 861 207</t>
  </si>
  <si>
    <t>VISITA TÉCNICA CASA</t>
  </si>
  <si>
    <t>EDWIN</t>
  </si>
  <si>
    <t>51 920 081 686</t>
  </si>
  <si>
    <t>VERIFICACION DE DENUNCIA SIDPOL</t>
  </si>
  <si>
    <t xml:space="preserve">Joel Barzola Cutti </t>
  </si>
  <si>
    <t>999 281 54</t>
  </si>
  <si>
    <t>Visita de moho</t>
  </si>
  <si>
    <t>Santa Anita</t>
  </si>
  <si>
    <t>Darwin</t>
  </si>
  <si>
    <t>918 907 955</t>
  </si>
  <si>
    <t>Elielson</t>
  </si>
  <si>
    <t>55 35 9250-4435</t>
  </si>
  <si>
    <t xml:space="preserve">CERTIFICADOS DE PROPIEDADES </t>
  </si>
  <si>
    <t>Vicente Galvez</t>
  </si>
  <si>
    <t>941666699</t>
  </si>
  <si>
    <t>2 BLISTER Voriconazol</t>
  </si>
  <si>
    <t>Dalila Gener Ferrín</t>
  </si>
  <si>
    <t>Evita Orrillo</t>
  </si>
  <si>
    <t>Segunda Parte de pago</t>
  </si>
  <si>
    <t>959655232</t>
  </si>
  <si>
    <t xml:space="preserve">LIMPIEZA DE MOHO </t>
  </si>
  <si>
    <t>Guillermo Vasquez</t>
  </si>
  <si>
    <t>986 634 852</t>
  </si>
  <si>
    <t>VISITA TÉCNICA PISO</t>
  </si>
  <si>
    <t>Consuelo Tolentino</t>
  </si>
  <si>
    <t>992 696 691</t>
  </si>
  <si>
    <t>LIMPIEZA COLCHÓN TIPO 3</t>
  </si>
  <si>
    <t>8 und Voriconazol</t>
  </si>
  <si>
    <t>bee</t>
  </si>
  <si>
    <t>(818) 458-9917</t>
  </si>
  <si>
    <t>Enrique Bueno</t>
  </si>
  <si>
    <t>917 036 144</t>
  </si>
  <si>
    <t>30 horas de clase</t>
  </si>
  <si>
    <t xml:space="preserve">Pierre Panta </t>
  </si>
  <si>
    <t>948 693 183</t>
  </si>
  <si>
    <t>LAVADO DE COLCHON</t>
  </si>
  <si>
    <t>andres</t>
  </si>
  <si>
    <t>992 912 940</t>
  </si>
  <si>
    <t>LIMPIEZA VAPOR</t>
  </si>
  <si>
    <t>FREDD</t>
  </si>
  <si>
    <t>967 862 023</t>
  </si>
  <si>
    <t xml:space="preserve"> Voriconazol</t>
  </si>
  <si>
    <t>Claudia Rubina</t>
  </si>
  <si>
    <t>998 082 671</t>
  </si>
  <si>
    <t>JENNY</t>
  </si>
  <si>
    <t>989 911 093</t>
  </si>
  <si>
    <t>Mi Profe Virtual</t>
  </si>
  <si>
    <t>CESAR</t>
  </si>
  <si>
    <t>946708914</t>
  </si>
  <si>
    <t>MADGA</t>
  </si>
  <si>
    <t>993314458</t>
  </si>
  <si>
    <t>LIMPIEZA MUEBLE A VAPOR</t>
  </si>
  <si>
    <t>Stfniore</t>
  </si>
  <si>
    <t>918372654</t>
  </si>
  <si>
    <t>CICLOFOSFAMIDA</t>
  </si>
  <si>
    <t>Isabel Màlaga</t>
  </si>
  <si>
    <t>996 291 163</t>
  </si>
  <si>
    <t>LIMPIEZA DE COLCHON TIPO 3</t>
  </si>
  <si>
    <t>Xiomara</t>
  </si>
  <si>
    <t>Richard Peña</t>
  </si>
  <si>
    <t>987 755 149</t>
  </si>
  <si>
    <t>Visita Tecnica Piso</t>
  </si>
  <si>
    <t>PAQUETE  HORAS</t>
  </si>
  <si>
    <t>Jessica Zavaleta</t>
  </si>
  <si>
    <t>902 697 031</t>
  </si>
  <si>
    <t xml:space="preserve"> 987 530 259</t>
  </si>
  <si>
    <t xml:space="preserve">2 do pago </t>
  </si>
  <si>
    <t>ANDREA TEJEDA</t>
  </si>
  <si>
    <t>997 515 755</t>
  </si>
  <si>
    <t>VISITA TECNICA MOHO</t>
  </si>
  <si>
    <t>GIANNY</t>
  </si>
  <si>
    <t>998 069 806</t>
  </si>
  <si>
    <t>994 007 799</t>
  </si>
  <si>
    <t>VISITA TECNICA CASA</t>
  </si>
  <si>
    <t>María Fe Torres</t>
  </si>
  <si>
    <t>972 730 812</t>
  </si>
  <si>
    <t>Limpieza de muebe de cuero</t>
  </si>
  <si>
    <t>Gianny</t>
  </si>
  <si>
    <t>Jesus Alvarez</t>
  </si>
  <si>
    <t>994 635 914</t>
  </si>
  <si>
    <t>Paquete 10 horas IB</t>
  </si>
  <si>
    <t>Luis Cabrera</t>
  </si>
  <si>
    <t>984 511 394</t>
  </si>
  <si>
    <t>Papa de Andre</t>
  </si>
  <si>
    <t>Extensión de Paquete a 60 horas</t>
  </si>
  <si>
    <t>Papa LorenaGarcia</t>
  </si>
  <si>
    <t>Restante de Paquete</t>
  </si>
  <si>
    <t>Soyla mama ximena</t>
  </si>
  <si>
    <t>989 321 026</t>
  </si>
  <si>
    <t>2 horas pedalogicas</t>
  </si>
  <si>
    <t xml:space="preserve">PILI MAGNA FIT </t>
  </si>
  <si>
    <t>998 117 214</t>
  </si>
  <si>
    <t>30 HORAS PEDALOGICAS</t>
  </si>
  <si>
    <t>Paz Villavicencio Arístides</t>
  </si>
  <si>
    <t>953 749 420</t>
  </si>
  <si>
    <t>1 LENALIDOMIDA</t>
  </si>
  <si>
    <t xml:space="preserve">JANET </t>
  </si>
  <si>
    <t>913255156</t>
  </si>
  <si>
    <t>LIMPIEZA DE VENTANAS</t>
  </si>
  <si>
    <t>Nicolás</t>
  </si>
  <si>
    <t>956 856 311</t>
  </si>
  <si>
    <t>Maria Julia Diaz</t>
  </si>
  <si>
    <t>998 899 140</t>
  </si>
  <si>
    <t>CARTA NOTARIAL</t>
  </si>
  <si>
    <t xml:space="preserve">Erick de la Cruz </t>
  </si>
  <si>
    <t>960539275</t>
  </si>
  <si>
    <t>Lavado de muebles</t>
  </si>
  <si>
    <t>Paola Contreras</t>
  </si>
  <si>
    <t>945108382</t>
  </si>
  <si>
    <t>Paquete 10h</t>
  </si>
  <si>
    <t>Nataly cornejo</t>
  </si>
  <si>
    <t>900 646 382</t>
  </si>
  <si>
    <t xml:space="preserve">LIMPIEZA DE ALFOMBRA </t>
  </si>
  <si>
    <t>Néstor Alejandro Quispe Gamarra</t>
  </si>
  <si>
    <t>UETCprof</t>
  </si>
  <si>
    <t xml:space="preserve">Restante de paquete </t>
  </si>
  <si>
    <t>Maria Elena Huaman</t>
  </si>
  <si>
    <t>948 938 518</t>
  </si>
  <si>
    <t>Ronald Pacheco</t>
  </si>
  <si>
    <t xml:space="preserve">Jorge </t>
  </si>
  <si>
    <t>960 758 167</t>
  </si>
  <si>
    <t xml:space="preserve">VISITA TECNICA DE MOHO </t>
  </si>
  <si>
    <t xml:space="preserve">Carmen rosa </t>
  </si>
  <si>
    <t>939 700 928</t>
  </si>
  <si>
    <t xml:space="preserve">Alexander </t>
  </si>
  <si>
    <t>957 502 225</t>
  </si>
  <si>
    <t>LIMPIEZA DE MUEBLE 3-2</t>
  </si>
  <si>
    <t>941 266 168</t>
  </si>
  <si>
    <t>Maria cristina gil polo</t>
  </si>
  <si>
    <t>Pago de extensión de 2 horas</t>
  </si>
  <si>
    <t>GONZALO</t>
  </si>
  <si>
    <t>997 041 428</t>
  </si>
  <si>
    <t>radashi</t>
  </si>
  <si>
    <t>999653030</t>
  </si>
  <si>
    <t>José Manuel Zegarra</t>
  </si>
  <si>
    <t>959170335</t>
  </si>
  <si>
    <t>Carmen Herrera</t>
  </si>
  <si>
    <t>958406799</t>
  </si>
  <si>
    <t>LAVADO COLCHON CUNA TIPO3</t>
  </si>
  <si>
    <t>Jenny Schabauer</t>
  </si>
  <si>
    <t>997882055</t>
  </si>
  <si>
    <t xml:space="preserve">Exclusive </t>
  </si>
  <si>
    <t>999 558 266</t>
  </si>
  <si>
    <t>Videos</t>
  </si>
  <si>
    <t xml:space="preserve">jaime </t>
  </si>
  <si>
    <t>931 713 643</t>
  </si>
  <si>
    <t>LAVADO COLCHON 1 PLAZA</t>
  </si>
  <si>
    <t>Javier Gamarra</t>
  </si>
  <si>
    <t>998635121</t>
  </si>
  <si>
    <t xml:space="preserve">Camilo </t>
  </si>
  <si>
    <t>Limpieza Doméstica</t>
  </si>
  <si>
    <t>Alvaro Arce</t>
  </si>
  <si>
    <t>994075154</t>
  </si>
  <si>
    <t>LAVADO DE ALFOMBRA</t>
  </si>
  <si>
    <t>Sergio Metuaze</t>
  </si>
  <si>
    <t>983452388</t>
  </si>
  <si>
    <t xml:space="preserve">Juan pablo </t>
  </si>
  <si>
    <t>997 012 852</t>
  </si>
  <si>
    <t>Limpieza Vapor Mueble</t>
  </si>
  <si>
    <t xml:space="preserve">Chio toma </t>
  </si>
  <si>
    <t>962328757</t>
  </si>
  <si>
    <t>Samuel Frisancho</t>
  </si>
  <si>
    <t>976029809</t>
  </si>
  <si>
    <t>Visita Tecnica Moho</t>
  </si>
  <si>
    <t>Renzo Gutierrez</t>
  </si>
  <si>
    <t>964582743</t>
  </si>
  <si>
    <t>Miguel Rodriguez</t>
  </si>
  <si>
    <t>912 233 726</t>
  </si>
  <si>
    <t xml:space="preserve">Jimmy </t>
  </si>
  <si>
    <t>945774799</t>
  </si>
  <si>
    <t>Sophie Belatrix Quinteros Bravo</t>
  </si>
  <si>
    <t>56 9 7558 9408</t>
  </si>
  <si>
    <t>Paquete 30h</t>
  </si>
  <si>
    <t>Julio baptista</t>
  </si>
  <si>
    <t>926 916 489</t>
  </si>
  <si>
    <t xml:space="preserve">OPERARIO X 5 HORAS </t>
  </si>
  <si>
    <t xml:space="preserve">Carmen </t>
  </si>
  <si>
    <t>993 939 293</t>
  </si>
  <si>
    <t>Ariana Vilchez</t>
  </si>
  <si>
    <t>988 192 791</t>
  </si>
  <si>
    <t xml:space="preserve">Claudia  </t>
  </si>
  <si>
    <t>940149399</t>
  </si>
  <si>
    <t>Limpieza Piso</t>
  </si>
  <si>
    <t>MARCOS</t>
  </si>
  <si>
    <t>2 COLCHONES QUEEN</t>
  </si>
  <si>
    <t>Limpieza Moho</t>
  </si>
  <si>
    <t xml:space="preserve">Vladimir Villanueva </t>
  </si>
  <si>
    <t>963 138 800</t>
  </si>
  <si>
    <t xml:space="preserve">PAQUETE DE 6H </t>
  </si>
  <si>
    <t>REBECA CALDERON</t>
  </si>
  <si>
    <t>997102549</t>
  </si>
  <si>
    <t>Judith Hernandez</t>
  </si>
  <si>
    <t>913174992</t>
  </si>
  <si>
    <t xml:space="preserve">Dora Lisset </t>
  </si>
  <si>
    <t>982 601 956</t>
  </si>
  <si>
    <t>ASESORIA MIRATORIA JANIRE</t>
  </si>
  <si>
    <t>CESAR RUBIO</t>
  </si>
  <si>
    <t>958 523 647</t>
  </si>
  <si>
    <t>VISITA TECNICA PISOS</t>
  </si>
  <si>
    <t>MONICA POMAREDA CHAVEZ BEDOLLA</t>
  </si>
  <si>
    <t>929 391 334</t>
  </si>
  <si>
    <t>LIMPIEZA BASICA CASA</t>
  </si>
  <si>
    <t>Claudia Capebecina</t>
  </si>
  <si>
    <t>989799717</t>
  </si>
  <si>
    <t>MEDICAMENTOS</t>
  </si>
  <si>
    <t>Yuri Ernau</t>
  </si>
  <si>
    <t>997590445</t>
  </si>
  <si>
    <t xml:space="preserve">967100047
</t>
  </si>
  <si>
    <t>Limpieza Vapor Alfombra</t>
  </si>
  <si>
    <t>Rocio machaca</t>
  </si>
  <si>
    <t>918 442 549</t>
  </si>
  <si>
    <t>Jessica Navarro</t>
  </si>
  <si>
    <t>(727) 400-1189</t>
  </si>
  <si>
    <t>Limpieza Ventana</t>
  </si>
  <si>
    <t xml:space="preserve">Maria </t>
  </si>
  <si>
    <t>Neo cayetano flores</t>
  </si>
  <si>
    <t>920216354</t>
  </si>
  <si>
    <t xml:space="preserve">Rocio </t>
  </si>
  <si>
    <t>983583028</t>
  </si>
  <si>
    <t>Giancarlo Mendoza</t>
  </si>
  <si>
    <t>965087557</t>
  </si>
  <si>
    <t>SONIA FRISANCHO PACHECO</t>
  </si>
  <si>
    <t>951 677 787</t>
  </si>
  <si>
    <t>Visita Tecnica Casa</t>
  </si>
  <si>
    <t>ROXANA ORTIZ</t>
  </si>
  <si>
    <t>994 210 752</t>
  </si>
  <si>
    <t>TERESA MONTEVERDE</t>
  </si>
  <si>
    <t>997 932 997</t>
  </si>
  <si>
    <t>Limpieza Industrial Profunda</t>
  </si>
  <si>
    <t>Eliana</t>
  </si>
  <si>
    <t>990703821</t>
  </si>
  <si>
    <t>Asesoría Abogado</t>
  </si>
  <si>
    <t>Delia abish</t>
  </si>
  <si>
    <t>997950677</t>
  </si>
  <si>
    <t>Patricia Knox</t>
  </si>
  <si>
    <t>996398660</t>
  </si>
  <si>
    <t>Carmen Carbajal</t>
  </si>
  <si>
    <t>924 007 549</t>
  </si>
  <si>
    <t>yodam fernando</t>
  </si>
  <si>
    <t>931048438</t>
  </si>
  <si>
    <t>Asesoría Psicologa</t>
  </si>
  <si>
    <t>Daila</t>
  </si>
  <si>
    <t>990 396 973</t>
  </si>
  <si>
    <t>Aurelio</t>
  </si>
  <si>
    <t>959 559 890</t>
  </si>
  <si>
    <t xml:space="preserve">yola </t>
  </si>
  <si>
    <t>Gabriela Valcárcel</t>
  </si>
  <si>
    <t>979 782 233</t>
  </si>
  <si>
    <t>Antoine Morillon</t>
  </si>
  <si>
    <t>982 803 471</t>
  </si>
  <si>
    <t>ANGELICA DE LA CRUZ</t>
  </si>
  <si>
    <t>968843180</t>
  </si>
  <si>
    <t>JUAN CARLOS</t>
  </si>
  <si>
    <t>918 921 605</t>
  </si>
  <si>
    <t>945 304 600</t>
  </si>
  <si>
    <t>Maria Valdivia</t>
  </si>
  <si>
    <t>986988558</t>
  </si>
  <si>
    <t>Sixto Zapata</t>
  </si>
  <si>
    <t>999 031 057</t>
  </si>
  <si>
    <t>Carlos Llosa Larrabure</t>
  </si>
  <si>
    <t>981 217 573</t>
  </si>
  <si>
    <t>Andres ennen</t>
  </si>
  <si>
    <t>991 998 898</t>
  </si>
  <si>
    <t>lucero escobar</t>
  </si>
  <si>
    <t>907 354 477</t>
  </si>
  <si>
    <t>MARITA ROJAS</t>
  </si>
  <si>
    <t>989 789 626</t>
  </si>
  <si>
    <t>Linda Collazos</t>
  </si>
  <si>
    <t>956 725 942</t>
  </si>
  <si>
    <t>Sara Moya</t>
  </si>
  <si>
    <t>992 751 091</t>
  </si>
  <si>
    <t>Paquete 20h</t>
  </si>
  <si>
    <t xml:space="preserve">Sofia </t>
  </si>
  <si>
    <t xml:space="preserve"> 981 557 295</t>
  </si>
  <si>
    <t>Limpieza Delicado Alfombra</t>
  </si>
  <si>
    <t>Juan Carlos</t>
  </si>
  <si>
    <t>Ada Venegas</t>
  </si>
  <si>
    <t>Roxana Cepero</t>
  </si>
  <si>
    <t>955 309 524</t>
  </si>
  <si>
    <t>Sonia de domenica</t>
  </si>
  <si>
    <t>967 801 000</t>
  </si>
  <si>
    <t>Eddy chen</t>
  </si>
  <si>
    <t xml:space="preserve">dalia </t>
  </si>
  <si>
    <t>Vivian</t>
  </si>
  <si>
    <t>994 699 800</t>
  </si>
  <si>
    <t xml:space="preserve">FLOR DE MARIA </t>
  </si>
  <si>
    <t>996 349 707</t>
  </si>
  <si>
    <t>Claudia mama Micaela</t>
  </si>
  <si>
    <t>940 149 399</t>
  </si>
  <si>
    <t>Bettina Tapia</t>
  </si>
  <si>
    <t>915 246 027</t>
  </si>
  <si>
    <t>Limpieza Delicado Mueble</t>
  </si>
  <si>
    <t>Gerson Soria</t>
  </si>
  <si>
    <t>927 144 298</t>
  </si>
  <si>
    <t>LINDA COLLAZOS</t>
  </si>
  <si>
    <t>Avril DIAZ</t>
  </si>
  <si>
    <t xml:space="preserve"> 970 767 201</t>
  </si>
  <si>
    <t>Jorge Luis</t>
  </si>
  <si>
    <t>987 751 388</t>
  </si>
  <si>
    <t>MOHO</t>
  </si>
  <si>
    <t>Pia</t>
  </si>
  <si>
    <t xml:space="preserve">Arantza Campos </t>
  </si>
  <si>
    <t>949 322 502</t>
  </si>
  <si>
    <t>Angelica Lazzaro</t>
  </si>
  <si>
    <t xml:space="preserve"> 986 623 870</t>
  </si>
  <si>
    <t>Alfredo Ortiz de Zevallos Castillo</t>
  </si>
  <si>
    <t>991722716</t>
  </si>
  <si>
    <t xml:space="preserve">GUILLERMO  </t>
  </si>
  <si>
    <t xml:space="preserve">MICAELA </t>
  </si>
  <si>
    <t>Maria Quiñonez</t>
  </si>
  <si>
    <t>946 222 722</t>
  </si>
  <si>
    <t>JOSELYN</t>
  </si>
  <si>
    <t>916 873 973</t>
  </si>
  <si>
    <t>MARIELLA LOAIZA</t>
  </si>
  <si>
    <t xml:space="preserve"> 980 493 744</t>
  </si>
  <si>
    <t xml:space="preserve">Alfredo  </t>
  </si>
  <si>
    <t>996909159</t>
  </si>
  <si>
    <t xml:space="preserve">Soffia barzola </t>
  </si>
  <si>
    <t xml:space="preserve">Chris Yanchaluiza </t>
  </si>
  <si>
    <t>593992729999</t>
  </si>
  <si>
    <t>Jacqueline mama de Mia Chavez</t>
  </si>
  <si>
    <t>980 570 714</t>
  </si>
  <si>
    <t xml:space="preserve">Carlos  </t>
  </si>
  <si>
    <t>997 908 529</t>
  </si>
  <si>
    <t xml:space="preserve">ZENOBIA </t>
  </si>
  <si>
    <t>993 979 831</t>
  </si>
  <si>
    <t>nancy</t>
  </si>
  <si>
    <t>940 634 567</t>
  </si>
  <si>
    <t xml:space="preserve">trasmar trasportes </t>
  </si>
  <si>
    <t>991 141 352</t>
  </si>
  <si>
    <t>11/92025</t>
  </si>
  <si>
    <t>jhonatan ruben</t>
  </si>
  <si>
    <t>901 645 224</t>
  </si>
  <si>
    <t>gaby lopez</t>
  </si>
  <si>
    <t>982 068 722</t>
  </si>
  <si>
    <t>997908529</t>
  </si>
  <si>
    <t>PIA ALEGRIA</t>
  </si>
  <si>
    <t>945 924 853</t>
  </si>
  <si>
    <t>Grecia</t>
  </si>
  <si>
    <t>NOMBRE</t>
  </si>
  <si>
    <t xml:space="preserve">RESTANTE </t>
  </si>
  <si>
    <t>Yesi</t>
  </si>
  <si>
    <t>972 083 546</t>
  </si>
  <si>
    <t>MONTO</t>
  </si>
  <si>
    <t xml:space="preserve">Alberto </t>
  </si>
  <si>
    <t>989 015 142</t>
  </si>
  <si>
    <t>Compra Balde de Cera- Sodimac+ pasaje</t>
  </si>
  <si>
    <t>PABLO</t>
  </si>
  <si>
    <t>940 556 179</t>
  </si>
  <si>
    <t xml:space="preserve">Visita - cecilia Joni </t>
  </si>
  <si>
    <t>Abel</t>
  </si>
  <si>
    <t>984 309 460</t>
  </si>
  <si>
    <t>Compra insumos piso- +2 pasaje</t>
  </si>
  <si>
    <t>993 489 454</t>
  </si>
  <si>
    <t>Compra insumos de limpieza</t>
  </si>
  <si>
    <t xml:space="preserve">tatiana </t>
  </si>
  <si>
    <t>Visita- grecia- joni</t>
  </si>
  <si>
    <t>jesús</t>
  </si>
  <si>
    <t>920 449 083</t>
  </si>
  <si>
    <t xml:space="preserve">lavado colchón </t>
  </si>
  <si>
    <t>Legia-gaseosa- Marco antonio</t>
  </si>
  <si>
    <t>987 273 642</t>
  </si>
  <si>
    <t>Joni insumos - cecilia</t>
  </si>
  <si>
    <t>Nikolay</t>
  </si>
  <si>
    <t>938 984 664</t>
  </si>
  <si>
    <t xml:space="preserve">pago Cristina abogada  </t>
  </si>
  <si>
    <t>LUIS</t>
  </si>
  <si>
    <t>MUEBLE</t>
  </si>
  <si>
    <t>visita - joni-emiliano</t>
  </si>
  <si>
    <t>pasaje  compras jesus</t>
  </si>
  <si>
    <t>IVAN</t>
  </si>
  <si>
    <t>963 289 807</t>
  </si>
  <si>
    <t xml:space="preserve">MIGRACION </t>
  </si>
  <si>
    <t>compras insumos</t>
  </si>
  <si>
    <t>Emma</t>
  </si>
  <si>
    <t>999 527 052</t>
  </si>
  <si>
    <t>Lavado</t>
  </si>
  <si>
    <t>Champu- muebles</t>
  </si>
  <si>
    <t>MONICA</t>
  </si>
  <si>
    <t>989 155 197</t>
  </si>
  <si>
    <t>feliciana</t>
  </si>
  <si>
    <t>998 672 456</t>
  </si>
  <si>
    <t>Fernanda</t>
  </si>
  <si>
    <t>966 733 016</t>
  </si>
  <si>
    <t>Compra de insumos de piso</t>
  </si>
  <si>
    <t>barbara</t>
  </si>
  <si>
    <t>904 516 539</t>
  </si>
  <si>
    <t>compra de trapeadores</t>
  </si>
  <si>
    <t>Julio</t>
  </si>
  <si>
    <t>963 918 162</t>
  </si>
  <si>
    <t>Colchones</t>
  </si>
  <si>
    <t xml:space="preserve">Dollar city </t>
  </si>
  <si>
    <t>Karla</t>
  </si>
  <si>
    <t>991 394 655</t>
  </si>
  <si>
    <t>Insumos limpieza</t>
  </si>
  <si>
    <t>941 465 967</t>
  </si>
  <si>
    <t>Minipads Joni 20v-20n-10b-10r</t>
  </si>
  <si>
    <t>CLAUDIA</t>
  </si>
  <si>
    <t>visita joni</t>
  </si>
  <si>
    <t>947 914 149</t>
  </si>
  <si>
    <t xml:space="preserve">Compra de insumos de limpieza </t>
  </si>
  <si>
    <t>Dafne</t>
  </si>
  <si>
    <t>938 194 178</t>
  </si>
  <si>
    <t>colchón</t>
  </si>
  <si>
    <t>Compra de Champu  de muebles.</t>
  </si>
  <si>
    <t>MARCO</t>
  </si>
  <si>
    <t>938 801 653</t>
  </si>
  <si>
    <t>caja de guantes</t>
  </si>
  <si>
    <t>NANCY</t>
  </si>
  <si>
    <t>961 206 884</t>
  </si>
  <si>
    <t>VENTANAS</t>
  </si>
  <si>
    <t>CELINE</t>
  </si>
  <si>
    <t>991 128 674</t>
  </si>
  <si>
    <t>COLCHÓN</t>
  </si>
  <si>
    <t>compra gorro</t>
  </si>
  <si>
    <t>Gian Pierre</t>
  </si>
  <si>
    <t>Paquete30</t>
  </si>
  <si>
    <t>MANUEL</t>
  </si>
  <si>
    <t>MICHELLE</t>
  </si>
  <si>
    <t>CASA + COLCHÓN</t>
  </si>
  <si>
    <t>Antuaneth</t>
  </si>
  <si>
    <t>988 498 141</t>
  </si>
  <si>
    <t>domestica</t>
  </si>
  <si>
    <t>Paquete 30</t>
  </si>
  <si>
    <t>Cecilia</t>
  </si>
  <si>
    <t>998 177 728</t>
  </si>
  <si>
    <t>Piso</t>
  </si>
  <si>
    <t>RUBEN</t>
  </si>
  <si>
    <t>944 839 907</t>
  </si>
  <si>
    <t>Estefany</t>
  </si>
  <si>
    <t>942 964 126</t>
  </si>
  <si>
    <t>colchon</t>
  </si>
  <si>
    <t>PATRCIA</t>
  </si>
  <si>
    <t>988 847 707</t>
  </si>
  <si>
    <t>Martín</t>
  </si>
  <si>
    <t>960 199 951</t>
  </si>
  <si>
    <t>Pablo</t>
  </si>
  <si>
    <t>984 782 924</t>
  </si>
  <si>
    <t xml:space="preserve">Limpieza departamento </t>
  </si>
  <si>
    <t>Rosa</t>
  </si>
  <si>
    <t>965 742 323</t>
  </si>
  <si>
    <t>Muebles</t>
  </si>
  <si>
    <t>Carlos alexander</t>
  </si>
  <si>
    <t>933 741 785</t>
  </si>
  <si>
    <t>FRANCISCO</t>
  </si>
  <si>
    <t>frank</t>
  </si>
  <si>
    <t>981 074 928</t>
  </si>
  <si>
    <t>colchones</t>
  </si>
  <si>
    <t>gabriel-tenorio</t>
  </si>
  <si>
    <t>915 024 685</t>
  </si>
  <si>
    <t>PEDRO</t>
  </si>
  <si>
    <t>Deseo clics</t>
  </si>
  <si>
    <t>LOGO AVANZADO</t>
  </si>
  <si>
    <t>JOSEPH</t>
  </si>
  <si>
    <t>959 822 245</t>
  </si>
  <si>
    <t>MUEBLES</t>
  </si>
  <si>
    <t>EDUARDO</t>
  </si>
  <si>
    <t>VISITA PISO</t>
  </si>
  <si>
    <t>Stephanie</t>
  </si>
  <si>
    <t>953 342 290</t>
  </si>
  <si>
    <t>HELLEN</t>
  </si>
  <si>
    <t>955 778 068</t>
  </si>
  <si>
    <t>987 330006</t>
  </si>
  <si>
    <t>paquete de 10</t>
  </si>
  <si>
    <t>RUBI</t>
  </si>
  <si>
    <t>Angelica</t>
  </si>
  <si>
    <t>999 736 929</t>
  </si>
  <si>
    <t>Departamento</t>
  </si>
  <si>
    <t>962 359 982</t>
  </si>
  <si>
    <t>Zuly</t>
  </si>
  <si>
    <t>981 446 983</t>
  </si>
  <si>
    <t>mueble</t>
  </si>
  <si>
    <t>VIOLETA</t>
  </si>
  <si>
    <t>987 222 222</t>
  </si>
  <si>
    <t>998 286 236</t>
  </si>
  <si>
    <t>ABEL</t>
  </si>
  <si>
    <t>999 356 666</t>
  </si>
  <si>
    <t xml:space="preserve">marco </t>
  </si>
  <si>
    <t>MARISELLA</t>
  </si>
  <si>
    <t>hernan</t>
  </si>
  <si>
    <t>39 327 887 4695</t>
  </si>
  <si>
    <t>MAGALY</t>
  </si>
  <si>
    <t>961 806 534</t>
  </si>
  <si>
    <t>Funeraria</t>
  </si>
  <si>
    <t>urna</t>
  </si>
  <si>
    <t>944 133 303</t>
  </si>
  <si>
    <t>ADOLFO</t>
  </si>
  <si>
    <t>VISTA</t>
  </si>
  <si>
    <t>ALEXANDRA</t>
  </si>
  <si>
    <t>LIMPIEZA 170M2</t>
  </si>
  <si>
    <t>Ada</t>
  </si>
  <si>
    <t>961 963 001</t>
  </si>
  <si>
    <t>Limpieza 65m2</t>
  </si>
  <si>
    <t>Erika</t>
  </si>
  <si>
    <t>978 906 585</t>
  </si>
  <si>
    <t>sandra</t>
  </si>
  <si>
    <t>994 105 650</t>
  </si>
  <si>
    <t xml:space="preserve">mueble </t>
  </si>
  <si>
    <t>Valeska</t>
  </si>
  <si>
    <t>clase 30$</t>
  </si>
  <si>
    <t xml:space="preserve">Michael </t>
  </si>
  <si>
    <t>946 072 226</t>
  </si>
  <si>
    <t xml:space="preserve">SANDRA </t>
  </si>
  <si>
    <t>999 214 094</t>
  </si>
  <si>
    <t>EVA</t>
  </si>
  <si>
    <t>920 701 490</t>
  </si>
  <si>
    <t xml:space="preserve">clase </t>
  </si>
  <si>
    <t xml:space="preserve">Grecia </t>
  </si>
  <si>
    <t>981 553 035</t>
  </si>
  <si>
    <t xml:space="preserve">muebles </t>
  </si>
  <si>
    <t>947 400 650</t>
  </si>
  <si>
    <t>GEANPIERRE</t>
  </si>
  <si>
    <t>952 108 54</t>
  </si>
  <si>
    <t>LIMPIEZA</t>
  </si>
  <si>
    <t>992 777 781</t>
  </si>
  <si>
    <t>CRISTIAN</t>
  </si>
  <si>
    <t>TAHIR</t>
  </si>
  <si>
    <t>JOSE ANTONIO</t>
  </si>
  <si>
    <t>LIMPIEZA SILLAS</t>
  </si>
  <si>
    <t xml:space="preserve">marco contreras </t>
  </si>
  <si>
    <t>VIRGINIA</t>
  </si>
  <si>
    <t>984 909 102</t>
  </si>
  <si>
    <t>RICK</t>
  </si>
  <si>
    <t>31 6 37356575</t>
  </si>
  <si>
    <t>Carmen</t>
  </si>
  <si>
    <t>933 378 833</t>
  </si>
  <si>
    <t>962 746 602</t>
  </si>
  <si>
    <t>Oriol</t>
  </si>
  <si>
    <t>677 02 96 94</t>
  </si>
  <si>
    <t>tarea</t>
  </si>
  <si>
    <t>952 970 249</t>
  </si>
  <si>
    <t>Maribel</t>
  </si>
  <si>
    <t>994 309 445</t>
  </si>
  <si>
    <t>Tarea</t>
  </si>
  <si>
    <t>DENISSE</t>
  </si>
  <si>
    <t>30 694 061 7521</t>
  </si>
  <si>
    <t>CLASE35$</t>
  </si>
  <si>
    <t>Maria</t>
  </si>
  <si>
    <t>969 559 959</t>
  </si>
  <si>
    <t>MARIA-DARREN</t>
  </si>
  <si>
    <t>990 894 323</t>
  </si>
  <si>
    <t xml:space="preserve">EMILIO </t>
  </si>
  <si>
    <t>972 042 202</t>
  </si>
  <si>
    <t>970 617 868</t>
  </si>
  <si>
    <t>DERLI</t>
  </si>
  <si>
    <t>992 785 068</t>
  </si>
  <si>
    <t>984 872 185</t>
  </si>
  <si>
    <t>abogado</t>
  </si>
  <si>
    <t>PACO</t>
  </si>
  <si>
    <t>1 (720) 366-3175</t>
  </si>
  <si>
    <t xml:space="preserve">Judith </t>
  </si>
  <si>
    <t>994 261464</t>
  </si>
  <si>
    <t xml:space="preserve">paquete de  10 horas. </t>
  </si>
  <si>
    <t>992 773 819</t>
  </si>
  <si>
    <t>OSCAR</t>
  </si>
  <si>
    <t xml:space="preserve"> 980 123 037</t>
  </si>
  <si>
    <t>940 401 418</t>
  </si>
  <si>
    <t xml:space="preserve">colchon </t>
  </si>
  <si>
    <t>937 474 355</t>
  </si>
  <si>
    <t>FERNANDA</t>
  </si>
  <si>
    <t>964 218 229</t>
  </si>
  <si>
    <t>ELIZABETH</t>
  </si>
  <si>
    <t>ANDERSON</t>
  </si>
  <si>
    <t>OLENKA</t>
  </si>
  <si>
    <t xml:space="preserve">GABRIELA </t>
  </si>
  <si>
    <t>947 453 615</t>
  </si>
  <si>
    <t>COSME-andrea</t>
  </si>
  <si>
    <t>983 769 607</t>
  </si>
  <si>
    <t>Alexandra</t>
  </si>
  <si>
    <t>970 345 673</t>
  </si>
  <si>
    <t>limpieza de 100m2</t>
  </si>
  <si>
    <t>rafael</t>
  </si>
  <si>
    <t>clase 35$</t>
  </si>
  <si>
    <t>Camila</t>
  </si>
  <si>
    <t>938 371 263</t>
  </si>
  <si>
    <t>CHRISTIAN</t>
  </si>
  <si>
    <t>998 093 580</t>
  </si>
  <si>
    <t>947 473 778</t>
  </si>
  <si>
    <t>27-11-0204</t>
  </si>
  <si>
    <t>MARILY</t>
  </si>
  <si>
    <t>902 049 554</t>
  </si>
  <si>
    <t>956 543 737</t>
  </si>
  <si>
    <t>Betina</t>
  </si>
  <si>
    <t>960 069 988</t>
  </si>
  <si>
    <t>ALEJANDRO</t>
  </si>
  <si>
    <t>956 370 362</t>
  </si>
  <si>
    <t xml:space="preserve">MUEBLE MODULAR </t>
  </si>
  <si>
    <t>CARMEN</t>
  </si>
  <si>
    <t>971 033 661</t>
  </si>
  <si>
    <t>986 010 124</t>
  </si>
  <si>
    <t>ZULEMA-CIELO</t>
  </si>
  <si>
    <t>BANDERA-CLASES</t>
  </si>
  <si>
    <t>Dayana</t>
  </si>
  <si>
    <t>993 466 877</t>
  </si>
  <si>
    <t>clase 65</t>
  </si>
  <si>
    <t>CLASE 85</t>
  </si>
  <si>
    <t>Margarita</t>
  </si>
  <si>
    <t>953 793 196</t>
  </si>
  <si>
    <t>ADRIANA</t>
  </si>
  <si>
    <t>985 556 051</t>
  </si>
  <si>
    <t>LAURA</t>
  </si>
  <si>
    <t>56 9 4470 2448</t>
  </si>
  <si>
    <t>CLASE 35$</t>
  </si>
  <si>
    <t>Verónica</t>
  </si>
  <si>
    <t>976 358 310</t>
  </si>
  <si>
    <t>CAROLA</t>
  </si>
  <si>
    <t>933 629 677</t>
  </si>
  <si>
    <t>2 Clase 45 H+ Tarea</t>
  </si>
  <si>
    <t>986 739 155</t>
  </si>
  <si>
    <t>moho</t>
  </si>
  <si>
    <t>960 732 322</t>
  </si>
  <si>
    <t>999 025 494</t>
  </si>
  <si>
    <t>Nicole-grecia</t>
  </si>
  <si>
    <t>945 413 110</t>
  </si>
  <si>
    <t>pablo-said</t>
  </si>
  <si>
    <t>969 750 082</t>
  </si>
  <si>
    <t>ANA</t>
  </si>
  <si>
    <t>ALFOMBRA</t>
  </si>
  <si>
    <t>ANTONIO</t>
  </si>
  <si>
    <t>971 568 264</t>
  </si>
  <si>
    <t xml:space="preserve">MARIANA </t>
  </si>
  <si>
    <t>984 128 770</t>
  </si>
  <si>
    <t>EBER</t>
  </si>
  <si>
    <t>917 550 903</t>
  </si>
  <si>
    <t>LUCY</t>
  </si>
  <si>
    <t>KELLY</t>
  </si>
  <si>
    <t>932 209 196</t>
  </si>
  <si>
    <t>RUTH</t>
  </si>
  <si>
    <t>999 383 671</t>
  </si>
  <si>
    <t>995 095 566</t>
  </si>
  <si>
    <t>FABRIZIO</t>
  </si>
  <si>
    <t xml:space="preserve"> 992 714 186</t>
  </si>
  <si>
    <t>FARID</t>
  </si>
  <si>
    <t>977 298 352</t>
  </si>
  <si>
    <t>988 643 416</t>
  </si>
  <si>
    <t>982 876 029</t>
  </si>
  <si>
    <t>paquete 10</t>
  </si>
  <si>
    <t>02/12/0204</t>
  </si>
  <si>
    <t xml:space="preserve">Alejandra </t>
  </si>
  <si>
    <t>995 993 293</t>
  </si>
  <si>
    <t>Adrian</t>
  </si>
  <si>
    <t>930 650 753</t>
  </si>
  <si>
    <t>María Jose</t>
  </si>
  <si>
    <t>953 262 852</t>
  </si>
  <si>
    <t xml:space="preserve">LIMPIEZA </t>
  </si>
  <si>
    <t>Susan- Sebastian</t>
  </si>
  <si>
    <t>991 151 307</t>
  </si>
  <si>
    <t xml:space="preserve">Clase 75 </t>
  </si>
  <si>
    <t>Dante</t>
  </si>
  <si>
    <t>982 097 980</t>
  </si>
  <si>
    <t>Facebook</t>
  </si>
  <si>
    <t>Guiliana</t>
  </si>
  <si>
    <t>PISO + DOMESTICA</t>
  </si>
  <si>
    <t>Marco Contreras</t>
  </si>
  <si>
    <t>JOHANNA</t>
  </si>
  <si>
    <t>Saul</t>
  </si>
  <si>
    <t>986 622 235</t>
  </si>
  <si>
    <t>alfombra</t>
  </si>
  <si>
    <t xml:space="preserve">MAYRA </t>
  </si>
  <si>
    <t>Alfredo</t>
  </si>
  <si>
    <t>997 006 521</t>
  </si>
  <si>
    <t>Roberto</t>
  </si>
  <si>
    <t>997 377 071</t>
  </si>
  <si>
    <t>jose</t>
  </si>
  <si>
    <t>martin</t>
  </si>
  <si>
    <t>ciclofosfamida</t>
  </si>
  <si>
    <t>katia</t>
  </si>
  <si>
    <t xml:space="preserve">JUAN </t>
  </si>
  <si>
    <t>Walter</t>
  </si>
  <si>
    <t>959 803 846</t>
  </si>
  <si>
    <t>muebles</t>
  </si>
  <si>
    <t>LENIN</t>
  </si>
  <si>
    <t>SILLAS</t>
  </si>
  <si>
    <t>Flavio</t>
  </si>
  <si>
    <t>987 211 905</t>
  </si>
  <si>
    <t>Jose</t>
  </si>
  <si>
    <t>948 680 962</t>
  </si>
  <si>
    <t>945 920 682</t>
  </si>
  <si>
    <t>Limpeza</t>
  </si>
  <si>
    <t>Joseph</t>
  </si>
  <si>
    <t>998 808 647</t>
  </si>
  <si>
    <t>Cayetana</t>
  </si>
  <si>
    <t>949 706 770</t>
  </si>
  <si>
    <t>Jessica</t>
  </si>
  <si>
    <t>967 980 008</t>
  </si>
  <si>
    <t>Mario</t>
  </si>
  <si>
    <t>999 466 232</t>
  </si>
  <si>
    <t>JOSE</t>
  </si>
  <si>
    <t>986 617 177</t>
  </si>
  <si>
    <t>Susana</t>
  </si>
  <si>
    <t>(301) 919-2039</t>
  </si>
  <si>
    <t>667 98 23 65</t>
  </si>
  <si>
    <t>Clase 40$</t>
  </si>
  <si>
    <t>JUAN</t>
  </si>
  <si>
    <t>MARICARMEN</t>
  </si>
  <si>
    <t>34 623 03 83 92</t>
  </si>
  <si>
    <t>914 854 516</t>
  </si>
  <si>
    <t xml:space="preserve">José </t>
  </si>
  <si>
    <t>990 282 628</t>
  </si>
  <si>
    <t>Jean Carlos</t>
  </si>
  <si>
    <t>947 001 207</t>
  </si>
  <si>
    <t>JEFFREY</t>
  </si>
  <si>
    <t>991 627 755</t>
  </si>
  <si>
    <t>Fabrizzio</t>
  </si>
  <si>
    <t>912 822 173</t>
  </si>
  <si>
    <t>CLASE PRESENCIAL</t>
  </si>
  <si>
    <t xml:space="preserve">JUANA </t>
  </si>
  <si>
    <t>945 615 898</t>
  </si>
  <si>
    <t>SOPHIE</t>
  </si>
  <si>
    <t>989 047 186</t>
  </si>
  <si>
    <t>HECTOR</t>
  </si>
  <si>
    <t>pATRICIA</t>
  </si>
  <si>
    <t>963 751 534</t>
  </si>
  <si>
    <t>Marco Ochoa</t>
  </si>
  <si>
    <t>Amariz</t>
  </si>
  <si>
    <t>932 494 144</t>
  </si>
  <si>
    <t xml:space="preserve">capecitabina 200 capsulas </t>
  </si>
  <si>
    <t>Oscar</t>
  </si>
  <si>
    <t>978 809 662</t>
  </si>
  <si>
    <t>996 429 762</t>
  </si>
  <si>
    <t>examen</t>
  </si>
  <si>
    <t>DEVOLUCION</t>
  </si>
  <si>
    <t>Gladys</t>
  </si>
  <si>
    <t>estefani</t>
  </si>
  <si>
    <t>987 209 585</t>
  </si>
  <si>
    <t>DEVOLUCIO</t>
  </si>
  <si>
    <t>MARINA</t>
  </si>
  <si>
    <t xml:space="preserve">JOSE MARIA </t>
  </si>
  <si>
    <t>paquete de 20 soles</t>
  </si>
  <si>
    <t>DANIEL</t>
  </si>
  <si>
    <t>983 279 563</t>
  </si>
  <si>
    <t xml:space="preserve">Rosalía Mendoza </t>
  </si>
  <si>
    <t>993 487 475</t>
  </si>
  <si>
    <t>limpieza cocina y horno</t>
  </si>
  <si>
    <t>LEONARDO</t>
  </si>
  <si>
    <t>925 463 985</t>
  </si>
  <si>
    <t>melany</t>
  </si>
  <si>
    <t>973 533 510</t>
  </si>
  <si>
    <t>ANTHONY</t>
  </si>
  <si>
    <t>996 126 295</t>
  </si>
  <si>
    <t>987 127 049</t>
  </si>
  <si>
    <t xml:space="preserve">COLCHON </t>
  </si>
  <si>
    <t>karen</t>
  </si>
  <si>
    <t>939 144 629</t>
  </si>
  <si>
    <t xml:space="preserve">JUAN CARLOS </t>
  </si>
  <si>
    <t xml:space="preserve">MUEBLE </t>
  </si>
  <si>
    <t>ROSARIO</t>
  </si>
  <si>
    <t>936 257 478</t>
  </si>
  <si>
    <t xml:space="preserve"> 997 363 005</t>
  </si>
  <si>
    <t>ZULY</t>
  </si>
  <si>
    <t>Ernesto</t>
  </si>
  <si>
    <t xml:space="preserve"> 998 195 488</t>
  </si>
  <si>
    <t>955 677 429</t>
  </si>
  <si>
    <t>Kelly</t>
  </si>
  <si>
    <t>960 538 375</t>
  </si>
  <si>
    <t>ventanas</t>
  </si>
  <si>
    <t xml:space="preserve">CASA </t>
  </si>
  <si>
    <t>912 655 076</t>
  </si>
  <si>
    <t>CASA</t>
  </si>
  <si>
    <t>ALEXANDER</t>
  </si>
  <si>
    <t>LUZ</t>
  </si>
  <si>
    <t>COCINA</t>
  </si>
  <si>
    <t>RICHARD</t>
  </si>
  <si>
    <t>927 060 335</t>
  </si>
  <si>
    <t xml:space="preserve">capecitabina 10 capsulas </t>
  </si>
  <si>
    <t>Shirley</t>
  </si>
  <si>
    <t>995 378 999</t>
  </si>
  <si>
    <t>Psicologo de Lima</t>
  </si>
  <si>
    <t>Pscicologo</t>
  </si>
  <si>
    <t xml:space="preserve">katherina </t>
  </si>
  <si>
    <t>942 762 830</t>
  </si>
  <si>
    <t>limpieza casa</t>
  </si>
  <si>
    <t xml:space="preserve">DANIEL </t>
  </si>
  <si>
    <t>993 457 580</t>
  </si>
  <si>
    <t>Claudio</t>
  </si>
  <si>
    <t>997 213 557</t>
  </si>
  <si>
    <t xml:space="preserve">LAURA </t>
  </si>
  <si>
    <t>993 331 130</t>
  </si>
  <si>
    <t xml:space="preserve">Gustavo </t>
  </si>
  <si>
    <t>920 261 175</t>
  </si>
  <si>
    <t xml:space="preserve">Mueble </t>
  </si>
  <si>
    <t>SOFA</t>
  </si>
  <si>
    <t>999 417 389</t>
  </si>
  <si>
    <t>Colchon</t>
  </si>
  <si>
    <t>Katty</t>
  </si>
  <si>
    <t>OLGA</t>
  </si>
  <si>
    <t xml:space="preserve">MUEBLES </t>
  </si>
  <si>
    <t>GIULIANA</t>
  </si>
  <si>
    <t>Gianfranco</t>
  </si>
  <si>
    <t>953 044 066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</si>
</sst>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dd\-mm\-yy"/>
    <numFmt numFmtId="165" formatCode="dd\-mm\-yyyy"/>
    <numFmt numFmtId="166" formatCode="d\-m\-yyyy"/>
    <numFmt numFmtId="167" formatCode="d\-m\-yy"/>
    <numFmt numFmtId="168" formatCode="[$S/.]#,##0.00"/>
    <numFmt numFmtId="169" formatCode="dd/mm/yyyy"/>
    <numFmt numFmtId="170" formatCode="dd&quot;-&quot;mm&quot;-&quot;yyyy"/>
  </numFmts>
  <fonts count="24">
    <font>
      <sz val="10"/>
      <color rgb="FF000000"/>
      <name val="Arial"/>
      <scheme val="minor"/>
    </font>
    <font>
      <b/>
      <sz val="10"/>
      <color rgb="FF000000"/>
      <name val="Arial"/>
      <scheme val="minor"/>
    </font>
    <font>
      <sz val="10"/>
      <color rgb="FF000000"/>
      <name val="Arial"/>
      <scheme val="minor"/>
    </font>
    <font>
      <sz val="11"/>
      <color rgb="FF000000"/>
      <name val="Calibri"/>
    </font>
    <font>
      <sz val="10"/>
      <name val="Arial"/>
    </font>
    <font>
      <sz val="10"/>
      <color theme="1"/>
      <name val="Arial"/>
      <scheme val="minor"/>
    </font>
    <font>
      <sz val="10"/>
      <color theme="1"/>
      <name val="Arial"/>
    </font>
    <font>
      <b/>
      <sz val="10"/>
      <color theme="1"/>
      <name val="Arial"/>
    </font>
    <font>
      <sz val="10"/>
      <color rgb="FFFFFFFF"/>
      <name val="Arial"/>
      <scheme val="minor"/>
    </font>
    <font>
      <sz val="10"/>
      <color rgb="FF000000"/>
      <name val="Arial"/>
    </font>
    <font>
      <b/>
      <sz val="10"/>
      <color theme="1"/>
      <name val="Arial"/>
    </font>
    <font>
      <sz val="10"/>
      <color rgb="FF000000"/>
      <name val="Arial"/>
    </font>
    <font>
      <sz val="11"/>
      <color theme="1"/>
      <name val="Calibri"/>
    </font>
    <font>
      <sz val="10"/>
      <color rgb="FF434343"/>
      <name val="Arial"/>
      <scheme val="minor"/>
    </font>
    <font>
      <sz val="11"/>
      <color rgb="FF000000"/>
      <name val="Arial"/>
    </font>
    <font>
      <sz val="10"/>
      <color theme="1"/>
      <name val="Arial"/>
    </font>
    <font>
      <sz val="11"/>
      <color rgb="FF1F1F1F"/>
      <name val="Arial"/>
    </font>
    <font>
      <sz val="11"/>
      <color rgb="FF1F1F1F"/>
      <name val="Arial"/>
      <scheme val="minor"/>
    </font>
    <font>
      <sz val="11"/>
      <color rgb="FF000000"/>
      <name val="Docs-Calibri"/>
    </font>
    <font>
      <sz val="10"/>
      <color rgb="FF1F1F1F"/>
      <name val="Arial"/>
    </font>
    <font>
      <sz val="11"/>
      <color rgb="FF1F1F1F"/>
      <name val="&quot;Google Sans Text&quot;"/>
    </font>
    <font>
      <u/>
      <sz val="11"/>
      <color rgb="FF0000FF"/>
      <name val="Calibri"/>
    </font>
    <font>
      <sz val="10"/>
      <color rgb="FF1F1F1F"/>
      <name val="Arial"/>
      <scheme val="minor"/>
    </font>
    <font>
      <b/>
      <sz val="11"/>
      <color rgb="FF000000"/>
      <name val="Calibri"/>
    </font>
  </fonts>
  <fills count="17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rgb="FFFFF2CC"/>
        <bgColor rgb="FFFFF2CC"/>
      </patternFill>
    </fill>
    <fill>
      <patternFill patternType="solid">
        <fgColor rgb="FFD9EAD3"/>
        <bgColor rgb="FFD9EAD3"/>
      </patternFill>
    </fill>
    <fill>
      <patternFill patternType="solid">
        <fgColor rgb="FF6D9EEB"/>
        <bgColor rgb="FF6D9EEB"/>
      </patternFill>
    </fill>
    <fill>
      <patternFill patternType="solid">
        <fgColor rgb="FFF4CCCC"/>
        <bgColor rgb="FFF4CCCC"/>
      </patternFill>
    </fill>
    <fill>
      <patternFill patternType="solid">
        <fgColor rgb="FFEFEFEF"/>
        <bgColor rgb="FFEFEFEF"/>
      </patternFill>
    </fill>
    <fill>
      <patternFill patternType="solid">
        <fgColor rgb="FFF3F3F3"/>
        <bgColor rgb="FFF3F3F3"/>
      </patternFill>
    </fill>
    <fill>
      <patternFill patternType="solid">
        <fgColor rgb="FF00FF00"/>
        <bgColor rgb="FF00FF00"/>
      </patternFill>
    </fill>
    <fill>
      <patternFill patternType="solid">
        <fgColor rgb="FFFF0000"/>
        <bgColor rgb="FFFF0000"/>
      </patternFill>
    </fill>
    <fill>
      <patternFill patternType="solid">
        <fgColor rgb="FFF0F4F9"/>
        <bgColor rgb="FFF0F4F9"/>
      </patternFill>
    </fill>
    <fill>
      <patternFill patternType="solid">
        <fgColor rgb="FFB4A7D6"/>
        <bgColor rgb="FFB4A7D6"/>
      </patternFill>
    </fill>
    <fill>
      <patternFill patternType="solid">
        <fgColor rgb="FF9FC5E8"/>
        <bgColor rgb="FF9FC5E8"/>
      </patternFill>
    </fill>
    <fill>
      <patternFill patternType="solid">
        <fgColor rgb="FFFCE5CD"/>
        <bgColor rgb="FFFCE5CD"/>
      </patternFill>
    </fill>
  </fills>
  <borders count="1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4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165" fontId="2" fillId="3" borderId="1" xfId="0" applyNumberFormat="1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0" xfId="0" applyFont="1"/>
    <xf numFmtId="0" fontId="2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68" fontId="2" fillId="0" borderId="0" xfId="0" applyNumberFormat="1" applyFont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/>
    </xf>
    <xf numFmtId="166" fontId="2" fillId="0" borderId="1" xfId="0" applyNumberFormat="1" applyFont="1" applyBorder="1" applyAlignment="1">
      <alignment horizontal="center" vertical="center"/>
    </xf>
    <xf numFmtId="166" fontId="2" fillId="3" borderId="1" xfId="0" applyNumberFormat="1" applyFont="1" applyFill="1" applyBorder="1" applyAlignment="1">
      <alignment horizontal="center" vertical="center"/>
    </xf>
    <xf numFmtId="4" fontId="6" fillId="0" borderId="1" xfId="0" applyNumberFormat="1" applyFont="1" applyBorder="1" applyAlignment="1">
      <alignment horizontal="center"/>
    </xf>
    <xf numFmtId="0" fontId="2" fillId="3" borderId="7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4" fontId="2" fillId="0" borderId="1" xfId="0" applyNumberFormat="1" applyFont="1" applyBorder="1" applyAlignment="1">
      <alignment horizontal="center" vertical="center"/>
    </xf>
    <xf numFmtId="4" fontId="5" fillId="0" borderId="0" xfId="0" applyNumberFormat="1" applyFont="1" applyAlignment="1">
      <alignment horizontal="center"/>
    </xf>
    <xf numFmtId="49" fontId="2" fillId="3" borderId="1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49" fontId="6" fillId="0" borderId="1" xfId="0" applyNumberFormat="1" applyFont="1" applyBorder="1" applyAlignment="1">
      <alignment horizontal="center"/>
    </xf>
    <xf numFmtId="14" fontId="2" fillId="0" borderId="1" xfId="0" applyNumberFormat="1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4" fontId="2" fillId="3" borderId="1" xfId="0" applyNumberFormat="1" applyFont="1" applyFill="1" applyBorder="1" applyAlignment="1">
      <alignment horizontal="center" vertical="center"/>
    </xf>
    <xf numFmtId="0" fontId="7" fillId="8" borderId="8" xfId="0" applyFont="1" applyFill="1" applyBorder="1" applyAlignment="1">
      <alignment horizontal="center" vertical="center"/>
    </xf>
    <xf numFmtId="49" fontId="10" fillId="8" borderId="8" xfId="0" applyNumberFormat="1" applyFont="1" applyFill="1" applyBorder="1" applyAlignment="1">
      <alignment horizontal="center" vertical="center"/>
    </xf>
    <xf numFmtId="49" fontId="7" fillId="8" borderId="8" xfId="0" applyNumberFormat="1" applyFont="1" applyFill="1" applyBorder="1" applyAlignment="1">
      <alignment horizontal="center" vertical="center"/>
    </xf>
    <xf numFmtId="4" fontId="7" fillId="8" borderId="8" xfId="0" applyNumberFormat="1" applyFont="1" applyFill="1" applyBorder="1" applyAlignment="1">
      <alignment horizontal="center" vertical="center"/>
    </xf>
    <xf numFmtId="4" fontId="7" fillId="8" borderId="8" xfId="0" applyNumberFormat="1" applyFont="1" applyFill="1" applyBorder="1" applyAlignment="1">
      <alignment horizontal="center" vertical="center" wrapText="1"/>
    </xf>
    <xf numFmtId="14" fontId="3" fillId="3" borderId="4" xfId="0" applyNumberFormat="1" applyFont="1" applyFill="1" applyBorder="1" applyAlignment="1">
      <alignment horizontal="center" vertical="center"/>
    </xf>
    <xf numFmtId="49" fontId="11" fillId="3" borderId="4" xfId="0" applyNumberFormat="1" applyFont="1" applyFill="1" applyBorder="1" applyAlignment="1">
      <alignment horizontal="center" vertical="center"/>
    </xf>
    <xf numFmtId="49" fontId="3" fillId="3" borderId="4" xfId="0" applyNumberFormat="1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49" fontId="2" fillId="3" borderId="4" xfId="0" applyNumberFormat="1" applyFont="1" applyFill="1" applyBorder="1" applyAlignment="1">
      <alignment horizontal="center" vertical="center"/>
    </xf>
    <xf numFmtId="4" fontId="2" fillId="3" borderId="4" xfId="0" applyNumberFormat="1" applyFont="1" applyFill="1" applyBorder="1" applyAlignment="1">
      <alignment horizontal="center" vertical="center"/>
    </xf>
    <xf numFmtId="4" fontId="9" fillId="3" borderId="4" xfId="0" applyNumberFormat="1" applyFont="1" applyFill="1" applyBorder="1" applyAlignment="1">
      <alignment horizontal="center" vertical="center"/>
    </xf>
    <xf numFmtId="49" fontId="9" fillId="9" borderId="1" xfId="0" applyNumberFormat="1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49" fontId="11" fillId="3" borderId="1" xfId="0" applyNumberFormat="1" applyFont="1" applyFill="1" applyBorder="1" applyAlignment="1">
      <alignment horizontal="center" vertical="center"/>
    </xf>
    <xf numFmtId="49" fontId="3" fillId="3" borderId="1" xfId="0" applyNumberFormat="1" applyFont="1" applyFill="1" applyBorder="1" applyAlignment="1">
      <alignment horizontal="center" vertical="center"/>
    </xf>
    <xf numFmtId="4" fontId="9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center" vertical="center"/>
    </xf>
    <xf numFmtId="14" fontId="2" fillId="3" borderId="1" xfId="0" applyNumberFormat="1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14" fontId="2" fillId="10" borderId="1" xfId="0" applyNumberFormat="1" applyFont="1" applyFill="1" applyBorder="1" applyAlignment="1">
      <alignment horizontal="center" vertical="center"/>
    </xf>
    <xf numFmtId="49" fontId="11" fillId="10" borderId="1" xfId="0" applyNumberFormat="1" applyFont="1" applyFill="1" applyBorder="1" applyAlignment="1">
      <alignment horizontal="center" vertical="center"/>
    </xf>
    <xf numFmtId="49" fontId="2" fillId="10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horizontal="center" vertical="center"/>
    </xf>
    <xf numFmtId="4" fontId="9" fillId="10" borderId="1" xfId="0" applyNumberFormat="1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49" fontId="9" fillId="10" borderId="1" xfId="0" applyNumberFormat="1" applyFont="1" applyFill="1" applyBorder="1" applyAlignment="1">
      <alignment horizontal="center" vertical="center"/>
    </xf>
    <xf numFmtId="14" fontId="3" fillId="10" borderId="1" xfId="0" applyNumberFormat="1" applyFont="1" applyFill="1" applyBorder="1" applyAlignment="1">
      <alignment horizontal="center" vertical="center"/>
    </xf>
    <xf numFmtId="49" fontId="3" fillId="10" borderId="1" xfId="0" applyNumberFormat="1" applyFont="1" applyFill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/>
    </xf>
    <xf numFmtId="4" fontId="2" fillId="3" borderId="1" xfId="0" applyNumberFormat="1" applyFont="1" applyFill="1" applyBorder="1" applyAlignment="1">
      <alignment horizontal="center" vertical="center" wrapText="1"/>
    </xf>
    <xf numFmtId="4" fontId="9" fillId="3" borderId="1" xfId="0" applyNumberFormat="1" applyFont="1" applyFill="1" applyBorder="1" applyAlignment="1">
      <alignment horizontal="center" vertical="center" wrapText="1"/>
    </xf>
    <xf numFmtId="4" fontId="1" fillId="10" borderId="1" xfId="0" applyNumberFormat="1" applyFon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horizontal="center" vertical="center" wrapText="1"/>
    </xf>
    <xf numFmtId="49" fontId="12" fillId="0" borderId="1" xfId="0" applyNumberFormat="1" applyFont="1" applyBorder="1" applyAlignment="1">
      <alignment horizontal="center"/>
    </xf>
    <xf numFmtId="0" fontId="12" fillId="0" borderId="1" xfId="0" applyFont="1" applyBorder="1" applyAlignment="1">
      <alignment horizontal="center" wrapText="1"/>
    </xf>
    <xf numFmtId="0" fontId="12" fillId="0" borderId="1" xfId="0" applyFont="1" applyBorder="1" applyAlignment="1">
      <alignment horizontal="center"/>
    </xf>
    <xf numFmtId="14" fontId="2" fillId="9" borderId="1" xfId="0" applyNumberFormat="1" applyFont="1" applyFill="1" applyBorder="1" applyAlignment="1">
      <alignment horizontal="center" vertical="center"/>
    </xf>
    <xf numFmtId="49" fontId="11" fillId="9" borderId="1" xfId="0" applyNumberFormat="1" applyFont="1" applyFill="1" applyBorder="1" applyAlignment="1">
      <alignment horizontal="center" vertical="center"/>
    </xf>
    <xf numFmtId="49" fontId="3" fillId="9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 vertical="center"/>
    </xf>
    <xf numFmtId="49" fontId="2" fillId="9" borderId="1" xfId="0" applyNumberFormat="1" applyFont="1" applyFill="1" applyBorder="1" applyAlignment="1">
      <alignment horizontal="center" vertical="center"/>
    </xf>
    <xf numFmtId="4" fontId="2" fillId="9" borderId="1" xfId="0" applyNumberFormat="1" applyFont="1" applyFill="1" applyBorder="1" applyAlignment="1">
      <alignment horizontal="center" vertical="center"/>
    </xf>
    <xf numFmtId="4" fontId="9" fillId="9" borderId="1" xfId="0" applyNumberFormat="1" applyFont="1" applyFill="1" applyBorder="1" applyAlignment="1">
      <alignment horizontal="center" vertical="center"/>
    </xf>
    <xf numFmtId="4" fontId="3" fillId="9" borderId="1" xfId="0" applyNumberFormat="1" applyFont="1" applyFill="1" applyBorder="1" applyAlignment="1">
      <alignment horizontal="center" vertical="center"/>
    </xf>
    <xf numFmtId="4" fontId="13" fillId="9" borderId="1" xfId="0" applyNumberFormat="1" applyFont="1" applyFill="1" applyBorder="1" applyAlignment="1">
      <alignment horizontal="center" vertical="center"/>
    </xf>
    <xf numFmtId="4" fontId="3" fillId="3" borderId="1" xfId="0" applyNumberFormat="1" applyFont="1" applyFill="1" applyBorder="1" applyAlignment="1">
      <alignment horizontal="center" vertical="center"/>
    </xf>
    <xf numFmtId="4" fontId="14" fillId="3" borderId="1" xfId="0" applyNumberFormat="1" applyFont="1" applyFill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14" fontId="2" fillId="6" borderId="1" xfId="0" applyNumberFormat="1" applyFont="1" applyFill="1" applyBorder="1" applyAlignment="1">
      <alignment horizontal="center" vertical="center"/>
    </xf>
    <xf numFmtId="49" fontId="11" fillId="6" borderId="1" xfId="0" applyNumberFormat="1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/>
    </xf>
    <xf numFmtId="4" fontId="2" fillId="6" borderId="1" xfId="0" applyNumberFormat="1" applyFont="1" applyFill="1" applyBorder="1" applyAlignment="1">
      <alignment horizontal="center" vertical="center"/>
    </xf>
    <xf numFmtId="4" fontId="9" fillId="6" borderId="1" xfId="0" applyNumberFormat="1" applyFont="1" applyFill="1" applyBorder="1" applyAlignment="1">
      <alignment horizontal="center" vertical="center"/>
    </xf>
    <xf numFmtId="49" fontId="9" fillId="6" borderId="1" xfId="0" applyNumberFormat="1" applyFont="1" applyFill="1" applyBorder="1" applyAlignment="1">
      <alignment horizontal="center" vertical="center"/>
    </xf>
    <xf numFmtId="49" fontId="6" fillId="0" borderId="0" xfId="0" applyNumberFormat="1" applyFont="1"/>
    <xf numFmtId="49" fontId="15" fillId="9" borderId="0" xfId="0" applyNumberFormat="1" applyFont="1" applyFill="1" applyAlignment="1">
      <alignment horizontal="center"/>
    </xf>
    <xf numFmtId="14" fontId="2" fillId="3" borderId="2" xfId="0" applyNumberFormat="1" applyFont="1" applyFill="1" applyBorder="1" applyAlignment="1">
      <alignment horizontal="center" vertical="center"/>
    </xf>
    <xf numFmtId="49" fontId="11" fillId="3" borderId="2" xfId="0" applyNumberFormat="1" applyFont="1" applyFill="1" applyBorder="1" applyAlignment="1">
      <alignment horizontal="center" vertical="center"/>
    </xf>
    <xf numFmtId="49" fontId="2" fillId="3" borderId="2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4" fontId="2" fillId="3" borderId="2" xfId="0" applyNumberFormat="1" applyFont="1" applyFill="1" applyBorder="1" applyAlignment="1">
      <alignment horizontal="center" vertical="center"/>
    </xf>
    <xf numFmtId="4" fontId="9" fillId="3" borderId="2" xfId="0" applyNumberFormat="1" applyFont="1" applyFill="1" applyBorder="1" applyAlignment="1">
      <alignment horizontal="center" vertical="center"/>
    </xf>
    <xf numFmtId="14" fontId="2" fillId="11" borderId="10" xfId="0" applyNumberFormat="1" applyFont="1" applyFill="1" applyBorder="1" applyAlignment="1">
      <alignment horizontal="center" vertical="center"/>
    </xf>
    <xf numFmtId="49" fontId="11" fillId="11" borderId="11" xfId="0" applyNumberFormat="1" applyFont="1" applyFill="1" applyBorder="1" applyAlignment="1">
      <alignment horizontal="center" vertical="center"/>
    </xf>
    <xf numFmtId="49" fontId="2" fillId="11" borderId="11" xfId="0" applyNumberFormat="1" applyFont="1" applyFill="1" applyBorder="1" applyAlignment="1">
      <alignment horizontal="center" vertical="center"/>
    </xf>
    <xf numFmtId="0" fontId="3" fillId="11" borderId="11" xfId="0" applyFont="1" applyFill="1" applyBorder="1" applyAlignment="1">
      <alignment horizontal="center" vertical="center" wrapText="1"/>
    </xf>
    <xf numFmtId="0" fontId="3" fillId="11" borderId="11" xfId="0" applyFont="1" applyFill="1" applyBorder="1" applyAlignment="1">
      <alignment horizontal="center" vertical="center"/>
    </xf>
    <xf numFmtId="4" fontId="2" fillId="11" borderId="11" xfId="0" applyNumberFormat="1" applyFont="1" applyFill="1" applyBorder="1" applyAlignment="1">
      <alignment horizontal="center" vertical="center"/>
    </xf>
    <xf numFmtId="4" fontId="9" fillId="11" borderId="11" xfId="0" applyNumberFormat="1" applyFont="1" applyFill="1" applyBorder="1" applyAlignment="1">
      <alignment horizontal="center" vertical="center"/>
    </xf>
    <xf numFmtId="49" fontId="9" fillId="11" borderId="12" xfId="0" applyNumberFormat="1" applyFont="1" applyFill="1" applyBorder="1" applyAlignment="1">
      <alignment horizontal="center" vertical="center"/>
    </xf>
    <xf numFmtId="49" fontId="11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4" fontId="9" fillId="0" borderId="1" xfId="0" applyNumberFormat="1" applyFont="1" applyBorder="1" applyAlignment="1">
      <alignment horizontal="center" vertical="center"/>
    </xf>
    <xf numFmtId="14" fontId="2" fillId="3" borderId="4" xfId="0" applyNumberFormat="1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 wrapText="1"/>
    </xf>
    <xf numFmtId="49" fontId="9" fillId="3" borderId="4" xfId="0" applyNumberFormat="1" applyFont="1" applyFill="1" applyBorder="1" applyAlignment="1">
      <alignment horizontal="center" vertical="center"/>
    </xf>
    <xf numFmtId="49" fontId="15" fillId="0" borderId="0" xfId="0" applyNumberFormat="1" applyFont="1" applyAlignment="1">
      <alignment horizontal="center"/>
    </xf>
    <xf numFmtId="49" fontId="16" fillId="13" borderId="0" xfId="0" applyNumberFormat="1" applyFont="1" applyFill="1" applyAlignment="1">
      <alignment horizontal="center"/>
    </xf>
    <xf numFmtId="49" fontId="17" fillId="0" borderId="0" xfId="0" applyNumberFormat="1" applyFont="1" applyAlignment="1">
      <alignment horizontal="center"/>
    </xf>
    <xf numFmtId="49" fontId="3" fillId="0" borderId="1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18" fillId="0" borderId="1" xfId="0" applyNumberFormat="1" applyFont="1" applyBorder="1" applyAlignment="1">
      <alignment horizontal="center" vertical="center"/>
    </xf>
    <xf numFmtId="49" fontId="15" fillId="0" borderId="1" xfId="0" applyNumberFormat="1" applyFont="1" applyBorder="1" applyAlignment="1">
      <alignment horizontal="center"/>
    </xf>
    <xf numFmtId="49" fontId="19" fillId="0" borderId="1" xfId="0" applyNumberFormat="1" applyFont="1" applyBorder="1" applyAlignment="1">
      <alignment horizontal="center"/>
    </xf>
    <xf numFmtId="49" fontId="20" fillId="0" borderId="0" xfId="0" applyNumberFormat="1" applyFont="1"/>
    <xf numFmtId="0" fontId="12" fillId="3" borderId="1" xfId="0" applyFont="1" applyFill="1" applyBorder="1" applyAlignment="1">
      <alignment horizontal="center" wrapText="1"/>
    </xf>
    <xf numFmtId="49" fontId="9" fillId="14" borderId="1" xfId="0" applyNumberFormat="1" applyFont="1" applyFill="1" applyBorder="1" applyAlignment="1">
      <alignment horizontal="center" vertical="center"/>
    </xf>
    <xf numFmtId="14" fontId="6" fillId="3" borderId="1" xfId="0" applyNumberFormat="1" applyFont="1" applyFill="1" applyBorder="1" applyAlignment="1">
      <alignment horizontal="center"/>
    </xf>
    <xf numFmtId="49" fontId="15" fillId="3" borderId="1" xfId="0" applyNumberFormat="1" applyFont="1" applyFill="1" applyBorder="1" applyAlignment="1">
      <alignment horizontal="center"/>
    </xf>
    <xf numFmtId="49" fontId="6" fillId="3" borderId="1" xfId="0" applyNumberFormat="1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49" fontId="6" fillId="3" borderId="1" xfId="0" applyNumberFormat="1" applyFont="1" applyFill="1" applyBorder="1"/>
    <xf numFmtId="4" fontId="6" fillId="3" borderId="1" xfId="0" applyNumberFormat="1" applyFont="1" applyFill="1" applyBorder="1" applyAlignment="1">
      <alignment horizontal="center"/>
    </xf>
    <xf numFmtId="4" fontId="6" fillId="3" borderId="1" xfId="0" applyNumberFormat="1" applyFont="1" applyFill="1" applyBorder="1"/>
    <xf numFmtId="49" fontId="5" fillId="0" borderId="1" xfId="0" applyNumberFormat="1" applyFont="1" applyBorder="1" applyAlignment="1">
      <alignment horizontal="center"/>
    </xf>
    <xf numFmtId="49" fontId="19" fillId="13" borderId="1" xfId="0" applyNumberFormat="1" applyFont="1" applyFill="1" applyBorder="1" applyAlignment="1">
      <alignment horizontal="center"/>
    </xf>
    <xf numFmtId="14" fontId="5" fillId="3" borderId="1" xfId="0" applyNumberFormat="1" applyFont="1" applyFill="1" applyBorder="1" applyAlignment="1">
      <alignment horizontal="center" vertical="center"/>
    </xf>
    <xf numFmtId="49" fontId="15" fillId="3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4" fontId="5" fillId="3" borderId="1" xfId="0" applyNumberFormat="1" applyFont="1" applyFill="1" applyBorder="1" applyAlignment="1">
      <alignment horizontal="center" vertical="center"/>
    </xf>
    <xf numFmtId="4" fontId="6" fillId="3" borderId="1" xfId="0" applyNumberFormat="1" applyFont="1" applyFill="1" applyBorder="1" applyAlignment="1">
      <alignment horizontal="center" vertical="center"/>
    </xf>
    <xf numFmtId="49" fontId="12" fillId="3" borderId="1" xfId="0" applyNumberFormat="1" applyFont="1" applyFill="1" applyBorder="1" applyAlignment="1">
      <alignment horizontal="center" vertical="center"/>
    </xf>
    <xf numFmtId="49" fontId="6" fillId="14" borderId="1" xfId="0" applyNumberFormat="1" applyFont="1" applyFill="1" applyBorder="1" applyAlignment="1">
      <alignment horizontal="center"/>
    </xf>
    <xf numFmtId="14" fontId="6" fillId="0" borderId="1" xfId="0" applyNumberFormat="1" applyFont="1" applyBorder="1" applyAlignment="1">
      <alignment horizontal="center"/>
    </xf>
    <xf numFmtId="0" fontId="15" fillId="0" borderId="0" xfId="0" applyFont="1" applyAlignment="1">
      <alignment horizontal="center"/>
    </xf>
    <xf numFmtId="14" fontId="2" fillId="15" borderId="1" xfId="0" applyNumberFormat="1" applyFont="1" applyFill="1" applyBorder="1" applyAlignment="1">
      <alignment horizontal="center" vertical="center"/>
    </xf>
    <xf numFmtId="49" fontId="11" fillId="15" borderId="1" xfId="0" applyNumberFormat="1" applyFont="1" applyFill="1" applyBorder="1" applyAlignment="1">
      <alignment horizontal="center" vertical="center"/>
    </xf>
    <xf numFmtId="49" fontId="6" fillId="15" borderId="1" xfId="0" applyNumberFormat="1" applyFont="1" applyFill="1" applyBorder="1" applyAlignment="1">
      <alignment horizontal="center"/>
    </xf>
    <xf numFmtId="0" fontId="3" fillId="15" borderId="1" xfId="0" applyFont="1" applyFill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center" vertical="center"/>
    </xf>
    <xf numFmtId="49" fontId="2" fillId="15" borderId="1" xfId="0" applyNumberFormat="1" applyFont="1" applyFill="1" applyBorder="1" applyAlignment="1">
      <alignment horizontal="center" vertical="center"/>
    </xf>
    <xf numFmtId="4" fontId="2" fillId="15" borderId="1" xfId="0" applyNumberFormat="1" applyFont="1" applyFill="1" applyBorder="1" applyAlignment="1">
      <alignment horizontal="center" vertical="center"/>
    </xf>
    <xf numFmtId="4" fontId="9" fillId="15" borderId="1" xfId="0" applyNumberFormat="1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/>
    </xf>
    <xf numFmtId="0" fontId="5" fillId="0" borderId="1" xfId="0" applyFont="1" applyBorder="1"/>
    <xf numFmtId="49" fontId="2" fillId="4" borderId="1" xfId="0" applyNumberFormat="1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21" fillId="3" borderId="1" xfId="0" applyFont="1" applyFill="1" applyBorder="1" applyAlignment="1">
      <alignment horizontal="center" vertical="center" wrapText="1"/>
    </xf>
    <xf numFmtId="49" fontId="22" fillId="13" borderId="0" xfId="0" applyNumberFormat="1" applyFont="1" applyFill="1" applyAlignment="1">
      <alignment horizontal="center"/>
    </xf>
    <xf numFmtId="49" fontId="5" fillId="0" borderId="0" xfId="0" applyNumberFormat="1" applyFont="1" applyAlignment="1">
      <alignment horizontal="center"/>
    </xf>
    <xf numFmtId="49" fontId="20" fillId="13" borderId="0" xfId="0" applyNumberFormat="1" applyFont="1" applyFill="1"/>
    <xf numFmtId="49" fontId="6" fillId="0" borderId="0" xfId="0" applyNumberFormat="1" applyFont="1" applyAlignment="1">
      <alignment horizontal="center"/>
    </xf>
    <xf numFmtId="49" fontId="19" fillId="3" borderId="1" xfId="0" applyNumberFormat="1" applyFont="1" applyFill="1" applyBorder="1" applyAlignment="1">
      <alignment horizontal="center"/>
    </xf>
    <xf numFmtId="49" fontId="1" fillId="3" borderId="1" xfId="0" applyNumberFormat="1" applyFont="1" applyFill="1" applyBorder="1" applyAlignment="1">
      <alignment horizontal="center" vertical="center"/>
    </xf>
    <xf numFmtId="49" fontId="20" fillId="13" borderId="0" xfId="0" applyNumberFormat="1" applyFont="1" applyFill="1" applyAlignment="1">
      <alignment horizontal="center"/>
    </xf>
    <xf numFmtId="49" fontId="2" fillId="12" borderId="1" xfId="0" applyNumberFormat="1" applyFont="1" applyFill="1" applyBorder="1" applyAlignment="1">
      <alignment horizontal="center" vertical="center"/>
    </xf>
    <xf numFmtId="0" fontId="7" fillId="8" borderId="14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6" fillId="8" borderId="13" xfId="0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 wrapText="1"/>
    </xf>
    <xf numFmtId="0" fontId="7" fillId="8" borderId="6" xfId="0" applyFont="1" applyFill="1" applyBorder="1" applyAlignment="1">
      <alignment horizontal="center" vertical="center"/>
    </xf>
    <xf numFmtId="170" fontId="3" fillId="10" borderId="4" xfId="0" applyNumberFormat="1" applyFont="1" applyFill="1" applyBorder="1" applyAlignment="1">
      <alignment horizontal="center" vertical="center"/>
    </xf>
    <xf numFmtId="0" fontId="3" fillId="10" borderId="4" xfId="0" applyFont="1" applyFill="1" applyBorder="1" applyAlignment="1">
      <alignment horizontal="center" vertical="center"/>
    </xf>
    <xf numFmtId="0" fontId="2" fillId="10" borderId="4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70" fontId="3" fillId="10" borderId="1" xfId="0" applyNumberFormat="1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5" xfId="0" applyFont="1" applyFill="1" applyBorder="1" applyAlignment="1">
      <alignment horizontal="center" vertical="center"/>
    </xf>
    <xf numFmtId="165" fontId="2" fillId="10" borderId="1" xfId="0" applyNumberFormat="1" applyFont="1" applyFill="1" applyBorder="1" applyAlignment="1">
      <alignment horizontal="center" vertical="center"/>
    </xf>
    <xf numFmtId="170" fontId="3" fillId="0" borderId="1" xfId="0" applyNumberFormat="1" applyFont="1" applyBorder="1" applyAlignment="1">
      <alignment horizontal="center" vertical="center"/>
    </xf>
    <xf numFmtId="166" fontId="2" fillId="10" borderId="1" xfId="0" applyNumberFormat="1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 wrapText="1"/>
    </xf>
    <xf numFmtId="0" fontId="2" fillId="10" borderId="5" xfId="0" applyFont="1" applyFill="1" applyBorder="1" applyAlignment="1">
      <alignment horizontal="center" vertical="center" wrapText="1"/>
    </xf>
    <xf numFmtId="167" fontId="2" fillId="0" borderId="1" xfId="0" applyNumberFormat="1" applyFont="1" applyBorder="1" applyAlignment="1">
      <alignment horizontal="center" vertical="center"/>
    </xf>
    <xf numFmtId="166" fontId="2" fillId="9" borderId="1" xfId="0" applyNumberFormat="1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165" fontId="1" fillId="3" borderId="1" xfId="0" applyNumberFormat="1" applyFont="1" applyFill="1" applyBorder="1" applyAlignment="1">
      <alignment horizontal="center" vertical="center"/>
    </xf>
    <xf numFmtId="0" fontId="23" fillId="3" borderId="1" xfId="0" applyFont="1" applyFill="1" applyBorder="1" applyAlignment="1">
      <alignment horizontal="center" vertical="center" wrapText="1"/>
    </xf>
    <xf numFmtId="0" fontId="2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169" fontId="2" fillId="3" borderId="1" xfId="0" applyNumberFormat="1" applyFont="1" applyFill="1" applyBorder="1" applyAlignment="1">
      <alignment horizontal="center" vertical="center"/>
    </xf>
    <xf numFmtId="165" fontId="2" fillId="9" borderId="1" xfId="0" applyNumberFormat="1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10" borderId="1" xfId="0" applyFont="1" applyFill="1" applyBorder="1" applyAlignment="1">
      <alignment horizontal="center" vertical="center"/>
    </xf>
    <xf numFmtId="170" fontId="2" fillId="10" borderId="1" xfId="0" applyNumberFormat="1" applyFont="1" applyFill="1" applyBorder="1" applyAlignment="1">
      <alignment horizontal="center" vertical="center"/>
    </xf>
    <xf numFmtId="166" fontId="5" fillId="0" borderId="1" xfId="0" applyNumberFormat="1" applyFont="1" applyBorder="1" applyAlignment="1">
      <alignment horizontal="center" vertical="center"/>
    </xf>
    <xf numFmtId="166" fontId="5" fillId="10" borderId="1" xfId="0" applyNumberFormat="1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2" fillId="16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vertical="center"/>
    </xf>
    <xf numFmtId="0" fontId="4" fillId="0" borderId="0" xfId="0" applyFont="1"/>
    <xf numFmtId="14" fontId="2" fillId="0" borderId="5" xfId="0" applyNumberFormat="1" applyFont="1" applyBorder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/>
    </xf>
    <xf numFmtId="14" fontId="2" fillId="7" borderId="4" xfId="0" applyNumberFormat="1" applyFont="1" applyFill="1" applyBorder="1" applyAlignment="1">
      <alignment horizontal="center" vertical="center"/>
    </xf>
    <xf numFmtId="14" fontId="2" fillId="0" borderId="2" xfId="0" applyNumberFormat="1" applyFont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/>
    </xf>
  </cellXfs>
  <cellStyles count="1">
    <cellStyle name="Normal" xfId="0" builtinId="0"/>
  </cellStyles>
  <dxfs count="33">
    <dxf>
      <fill>
        <patternFill patternType="solid">
          <fgColor rgb="FFEEF7E3"/>
          <bgColor rgb="FFEEF7E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EF7E3"/>
          <bgColor rgb="FFEEF7E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EF7E3"/>
          <bgColor rgb="FFEEF7E3"/>
        </patternFill>
      </fill>
    </dxf>
    <dxf>
      <fill>
        <patternFill patternType="solid">
          <fgColor rgb="FFEEF7E3"/>
          <bgColor rgb="FFEEF7E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EF7E3"/>
          <bgColor rgb="FFEEF7E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EF7E3"/>
          <bgColor rgb="FFEEF7E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EF7E3"/>
          <bgColor rgb="FFEEF7E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EF7E3"/>
          <bgColor rgb="FFEEF7E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EF7E3"/>
          <bgColor rgb="FFEEF7E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EF7E3"/>
          <bgColor rgb="FFEEF7E3"/>
        </patternFill>
      </fill>
    </dxf>
    <dxf>
      <fill>
        <patternFill patternType="solid">
          <fgColor rgb="FFEEF7E3"/>
          <bgColor rgb="FFEEF7E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EF7E3"/>
          <bgColor rgb="FFEEF7E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EF7E3"/>
          <bgColor rgb="FFEEF7E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EF7E3"/>
          <bgColor rgb="FFEEF7E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EF7E3"/>
          <bgColor rgb="FFEEF7E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16">
    <tableStyle name="INGRESOS - EGRESOS 2025-style" pivot="0" count="3" xr9:uid="{00000000-0011-0000-FFFF-FFFF00000000}">
      <tableStyleElement type="headerRow" dxfId="32"/>
      <tableStyleElement type="firstRowStripe" dxfId="31"/>
      <tableStyleElement type="secondRowStripe" dxfId="30"/>
    </tableStyle>
    <tableStyle name="INGRESOS - EGRESOS 2025-style 2" pivot="0" count="2" xr9:uid="{00000000-0011-0000-FFFF-FFFF01000000}">
      <tableStyleElement type="firstRowStripe" dxfId="29"/>
      <tableStyleElement type="secondRowStripe" dxfId="28"/>
    </tableStyle>
    <tableStyle name="INGRESOS - EGRESOS 2025-style 3" pivot="0" count="2" xr9:uid="{00000000-0011-0000-FFFF-FFFF02000000}">
      <tableStyleElement type="firstRowStripe" dxfId="27"/>
      <tableStyleElement type="secondRowStripe" dxfId="26"/>
    </tableStyle>
    <tableStyle name="INGRESOS - EGRESOS 2025-style 4" pivot="0" count="2" xr9:uid="{00000000-0011-0000-FFFF-FFFF03000000}">
      <tableStyleElement type="firstRowStripe" dxfId="25"/>
      <tableStyleElement type="secondRowStripe" dxfId="24"/>
    </tableStyle>
    <tableStyle name="INGRESOS - EGRESOS 2025-style 5" pivot="0" count="2" xr9:uid="{00000000-0011-0000-FFFF-FFFF04000000}">
      <tableStyleElement type="firstRowStripe" dxfId="23"/>
      <tableStyleElement type="secondRowStripe" dxfId="22"/>
    </tableStyle>
    <tableStyle name="INGRESOS - EGRESOS 2025-style 6" pivot="0" count="2" xr9:uid="{00000000-0011-0000-FFFF-FFFF05000000}">
      <tableStyleElement type="firstRowStripe" dxfId="21"/>
      <tableStyleElement type="secondRowStripe" dxfId="20"/>
    </tableStyle>
    <tableStyle name="INGRESOS - EGRESOS 2025-style 7" pivot="0" count="2" xr9:uid="{00000000-0011-0000-FFFF-FFFF06000000}">
      <tableStyleElement type="firstRowStripe" dxfId="19"/>
      <tableStyleElement type="secondRowStripe" dxfId="18"/>
    </tableStyle>
    <tableStyle name="INGRESOS - EGRESOS 2025-style 8" pivot="0" count="2" xr9:uid="{00000000-0011-0000-FFFF-FFFF07000000}">
      <tableStyleElement type="firstRowStripe" dxfId="17"/>
      <tableStyleElement type="secondRowStripe" dxfId="16"/>
    </tableStyle>
    <tableStyle name="INGRESOS - EGRESOS 2025-style 9" pivot="0" count="2" xr9:uid="{00000000-0011-0000-FFFF-FFFF08000000}">
      <tableStyleElement type="firstRowStripe" dxfId="15"/>
      <tableStyleElement type="secondRowStripe" dxfId="14"/>
    </tableStyle>
    <tableStyle name="INGRESOS - EGRESOS 2025-style 10" pivot="0" count="2" xr9:uid="{00000000-0011-0000-FFFF-FFFF09000000}">
      <tableStyleElement type="firstRowStripe" dxfId="13"/>
      <tableStyleElement type="secondRowStripe" dxfId="12"/>
    </tableStyle>
    <tableStyle name="INGRESOS - EGRESOS 2025-style 11" pivot="0" count="2" xr9:uid="{00000000-0011-0000-FFFF-FFFF0A000000}">
      <tableStyleElement type="firstRowStripe" dxfId="11"/>
      <tableStyleElement type="secondRowStripe" dxfId="10"/>
    </tableStyle>
    <tableStyle name="INGRESOS - EGRESOS 2025-style 12" pivot="0" count="2" xr9:uid="{00000000-0011-0000-FFFF-FFFF0B000000}">
      <tableStyleElement type="firstRowStripe" dxfId="9"/>
      <tableStyleElement type="secondRowStripe" dxfId="8"/>
    </tableStyle>
    <tableStyle name="INGRESOS - EGRESOS 2025-style 13" pivot="0" count="2" xr9:uid="{00000000-0011-0000-FFFF-FFFF0C000000}">
      <tableStyleElement type="firstRowStripe" dxfId="7"/>
      <tableStyleElement type="secondRowStripe" dxfId="6"/>
    </tableStyle>
    <tableStyle name="INGRESOS - EGRESOS 2025-style 14" pivot="0" count="2" xr9:uid="{00000000-0011-0000-FFFF-FFFF0D000000}">
      <tableStyleElement type="firstRowStripe" dxfId="5"/>
      <tableStyleElement type="secondRowStripe" dxfId="4"/>
    </tableStyle>
    <tableStyle name="INGRESOS - EGRESOS 2025-style 15" pivot="0" count="2" xr9:uid="{00000000-0011-0000-FFFF-FFFF0E000000}">
      <tableStyleElement type="firstRowStripe" dxfId="3"/>
      <tableStyleElement type="secondRowStripe" dxfId="2"/>
    </tableStyle>
    <tableStyle name="INGRESOS - EGRESOS 2025-style 16" pivot="0" count="2" xr9:uid="{00000000-0011-0000-FFFF-FFFF0F000000}"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profesordematematicas.net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FFFF"/>
    <outlinePr summaryBelow="0" summaryRight="0"/>
  </sheetPr>
  <dimension ref="A1:N2008"/>
  <sheetViews>
    <sheetView tabSelected="1" workbookViewId="0">
      <selection activeCell="D20" sqref="D20"/>
    </sheetView>
  </sheetViews>
  <sheetFormatPr baseColWidth="10" defaultColWidth="12.6640625" defaultRowHeight="15.75" customHeight="1"/>
  <cols>
    <col min="4" max="4" width="13" customWidth="1"/>
    <col min="6" max="6" width="14" customWidth="1"/>
    <col min="7" max="7" width="22.21875" customWidth="1"/>
  </cols>
  <sheetData>
    <row r="1" spans="1:2" ht="13.2">
      <c r="A1" s="1" t="s">
        <v>15</v>
      </c>
      <c r="B1" s="1" t="s">
        <v>0</v>
      </c>
    </row>
    <row r="2" spans="1:2" ht="13.2">
      <c r="A2" s="65">
        <v>45659</v>
      </c>
      <c r="B2" s="3">
        <v>10</v>
      </c>
    </row>
    <row r="3" spans="1:2" ht="13.2">
      <c r="A3" s="65">
        <v>45659</v>
      </c>
      <c r="B3" s="3">
        <v>10</v>
      </c>
    </row>
    <row r="4" spans="1:2" ht="13.2">
      <c r="A4" s="65">
        <v>45659</v>
      </c>
      <c r="B4" s="3">
        <v>36.4</v>
      </c>
    </row>
    <row r="5" spans="1:2" ht="13.2">
      <c r="A5" s="65">
        <v>45659</v>
      </c>
      <c r="B5" s="3">
        <v>51.6</v>
      </c>
    </row>
    <row r="6" spans="1:2" ht="13.2">
      <c r="A6" s="65">
        <v>45659</v>
      </c>
      <c r="B6" s="3">
        <v>10</v>
      </c>
    </row>
    <row r="7" spans="1:2" ht="13.2">
      <c r="A7" s="65">
        <v>45659</v>
      </c>
      <c r="B7" s="3">
        <v>12</v>
      </c>
    </row>
    <row r="8" spans="1:2" ht="13.2">
      <c r="A8" s="65">
        <v>45660</v>
      </c>
      <c r="B8" s="3">
        <v>7</v>
      </c>
    </row>
    <row r="9" spans="1:2" ht="13.2">
      <c r="A9" s="65">
        <v>45660</v>
      </c>
      <c r="B9" s="3">
        <v>7</v>
      </c>
    </row>
    <row r="10" spans="1:2" ht="13.2">
      <c r="A10" s="65">
        <v>45660</v>
      </c>
      <c r="B10" s="3">
        <v>18.5</v>
      </c>
    </row>
    <row r="11" spans="1:2" ht="13.2">
      <c r="A11" s="65">
        <v>45660</v>
      </c>
      <c r="B11" s="3">
        <v>8</v>
      </c>
    </row>
    <row r="12" spans="1:2" ht="13.2">
      <c r="A12" s="65">
        <v>45660</v>
      </c>
      <c r="B12" s="3">
        <v>14.5</v>
      </c>
    </row>
    <row r="13" spans="1:2" ht="13.2">
      <c r="A13" s="65">
        <v>45661</v>
      </c>
      <c r="B13" s="3">
        <v>26.5</v>
      </c>
    </row>
    <row r="14" spans="1:2" ht="13.2">
      <c r="A14" s="65">
        <v>45661</v>
      </c>
      <c r="B14" s="3">
        <v>9</v>
      </c>
    </row>
    <row r="15" spans="1:2" ht="13.2">
      <c r="A15" s="65">
        <v>45661</v>
      </c>
      <c r="B15" s="3">
        <v>16.899999999999999</v>
      </c>
    </row>
    <row r="16" spans="1:2" ht="13.2">
      <c r="A16" s="65">
        <v>45661</v>
      </c>
      <c r="B16" s="3">
        <v>15</v>
      </c>
    </row>
    <row r="17" spans="1:2" ht="13.2">
      <c r="A17" s="65">
        <v>45663</v>
      </c>
      <c r="B17" s="3">
        <v>15.5</v>
      </c>
    </row>
    <row r="18" spans="1:2" ht="13.2">
      <c r="A18" s="65">
        <v>45663</v>
      </c>
      <c r="B18" s="3">
        <v>15</v>
      </c>
    </row>
    <row r="19" spans="1:2" ht="13.2">
      <c r="A19" s="65">
        <v>45663</v>
      </c>
      <c r="B19" s="3">
        <v>17</v>
      </c>
    </row>
    <row r="20" spans="1:2" ht="13.2">
      <c r="A20" s="65">
        <v>45663</v>
      </c>
      <c r="B20" s="3">
        <v>20</v>
      </c>
    </row>
    <row r="21" spans="1:2" ht="13.2">
      <c r="A21" s="65">
        <v>45664</v>
      </c>
      <c r="B21" s="3">
        <v>10</v>
      </c>
    </row>
    <row r="22" spans="1:2" ht="13.2">
      <c r="A22" s="65">
        <v>45664</v>
      </c>
      <c r="B22" s="3">
        <v>10</v>
      </c>
    </row>
    <row r="23" spans="1:2" ht="13.2">
      <c r="A23" s="65">
        <v>45664</v>
      </c>
      <c r="B23" s="3">
        <v>41.6</v>
      </c>
    </row>
    <row r="24" spans="1:2" ht="13.2">
      <c r="A24" s="65">
        <v>45664</v>
      </c>
      <c r="B24" s="3">
        <v>14</v>
      </c>
    </row>
    <row r="25" spans="1:2" ht="13.2">
      <c r="A25" s="65">
        <v>45664</v>
      </c>
      <c r="B25" s="3">
        <v>58.6</v>
      </c>
    </row>
    <row r="26" spans="1:2" ht="13.2">
      <c r="A26" s="65">
        <v>45664</v>
      </c>
      <c r="B26" s="3">
        <v>58.6</v>
      </c>
    </row>
    <row r="27" spans="1:2" ht="13.2">
      <c r="A27" s="65">
        <v>45664</v>
      </c>
      <c r="B27" s="3">
        <v>10</v>
      </c>
    </row>
    <row r="28" spans="1:2" ht="13.2">
      <c r="A28" s="65">
        <v>45664</v>
      </c>
      <c r="B28" s="3">
        <v>28</v>
      </c>
    </row>
    <row r="29" spans="1:2" ht="13.2">
      <c r="A29" s="65">
        <v>45664</v>
      </c>
      <c r="B29" s="3">
        <v>13</v>
      </c>
    </row>
    <row r="30" spans="1:2" ht="13.2">
      <c r="A30" s="65">
        <v>45665</v>
      </c>
      <c r="B30" s="3">
        <v>19.5</v>
      </c>
    </row>
    <row r="31" spans="1:2" ht="13.2">
      <c r="A31" s="65">
        <v>45665</v>
      </c>
      <c r="B31" s="3">
        <v>7</v>
      </c>
    </row>
    <row r="32" spans="1:2" ht="13.2">
      <c r="A32" s="65">
        <v>45665</v>
      </c>
      <c r="B32" s="3">
        <v>19.5</v>
      </c>
    </row>
    <row r="33" spans="1:2" ht="13.2">
      <c r="A33" s="65">
        <v>45665</v>
      </c>
      <c r="B33" s="3">
        <v>11</v>
      </c>
    </row>
    <row r="34" spans="1:2" ht="13.2">
      <c r="A34" s="65">
        <v>45665</v>
      </c>
      <c r="B34" s="3">
        <v>17</v>
      </c>
    </row>
    <row r="35" spans="1:2" ht="13.2">
      <c r="A35" s="65">
        <v>45665</v>
      </c>
      <c r="B35" s="3">
        <v>9</v>
      </c>
    </row>
    <row r="36" spans="1:2" ht="13.2">
      <c r="A36" s="65">
        <v>45665</v>
      </c>
      <c r="B36" s="3">
        <v>22</v>
      </c>
    </row>
    <row r="37" spans="1:2" ht="13.2">
      <c r="A37" s="65">
        <v>45665</v>
      </c>
      <c r="B37" s="3">
        <v>22</v>
      </c>
    </row>
    <row r="38" spans="1:2" ht="13.2">
      <c r="A38" s="65">
        <v>45665</v>
      </c>
      <c r="B38" s="3">
        <v>20</v>
      </c>
    </row>
    <row r="39" spans="1:2" ht="13.2">
      <c r="A39" s="65">
        <v>45666</v>
      </c>
      <c r="B39" s="3">
        <v>12</v>
      </c>
    </row>
    <row r="40" spans="1:2" ht="13.2">
      <c r="A40" s="65">
        <v>45666</v>
      </c>
      <c r="B40" s="3">
        <v>88</v>
      </c>
    </row>
    <row r="41" spans="1:2" ht="13.2">
      <c r="A41" s="65">
        <v>45666</v>
      </c>
      <c r="B41" s="3">
        <v>17</v>
      </c>
    </row>
    <row r="42" spans="1:2" ht="13.2">
      <c r="A42" s="65">
        <v>45666</v>
      </c>
      <c r="B42" s="3">
        <v>88</v>
      </c>
    </row>
    <row r="43" spans="1:2" ht="13.2">
      <c r="A43" s="65">
        <v>45666</v>
      </c>
      <c r="B43" s="3">
        <v>18</v>
      </c>
    </row>
    <row r="44" spans="1:2" ht="13.2">
      <c r="A44" s="65">
        <v>45667</v>
      </c>
      <c r="B44" s="3">
        <v>17</v>
      </c>
    </row>
    <row r="45" spans="1:2" ht="13.2">
      <c r="A45" s="65">
        <v>45667</v>
      </c>
      <c r="B45" s="3">
        <v>15</v>
      </c>
    </row>
    <row r="46" spans="1:2" ht="13.2">
      <c r="A46" s="65">
        <v>45667</v>
      </c>
      <c r="B46" s="3">
        <v>9</v>
      </c>
    </row>
    <row r="47" spans="1:2" ht="13.2">
      <c r="A47" s="65">
        <v>45667</v>
      </c>
      <c r="B47" s="3">
        <v>9</v>
      </c>
    </row>
    <row r="48" spans="1:2" ht="13.2">
      <c r="A48" s="65">
        <v>45668</v>
      </c>
      <c r="B48" s="3">
        <v>9</v>
      </c>
    </row>
    <row r="49" spans="1:2" ht="13.2">
      <c r="A49" s="65">
        <v>45668</v>
      </c>
      <c r="B49" s="3">
        <v>9</v>
      </c>
    </row>
    <row r="50" spans="1:2" ht="13.2">
      <c r="A50" s="65">
        <v>45670</v>
      </c>
      <c r="B50" s="3">
        <v>13</v>
      </c>
    </row>
    <row r="51" spans="1:2" ht="13.2">
      <c r="A51" s="65">
        <v>45670</v>
      </c>
      <c r="B51" s="3">
        <v>10</v>
      </c>
    </row>
    <row r="52" spans="1:2" ht="13.2">
      <c r="A52" s="65">
        <v>45671</v>
      </c>
      <c r="B52" s="3">
        <v>24.7</v>
      </c>
    </row>
    <row r="53" spans="1:2" ht="13.2">
      <c r="A53" s="65">
        <v>45671</v>
      </c>
      <c r="B53" s="3">
        <v>25</v>
      </c>
    </row>
    <row r="54" spans="1:2" ht="13.2">
      <c r="A54" s="65">
        <v>45671</v>
      </c>
      <c r="B54" s="3">
        <v>19.5</v>
      </c>
    </row>
    <row r="55" spans="1:2" ht="13.2">
      <c r="A55" s="65">
        <v>45671</v>
      </c>
      <c r="B55" s="3">
        <v>20</v>
      </c>
    </row>
    <row r="56" spans="1:2" ht="13.2">
      <c r="A56" s="65">
        <v>45672</v>
      </c>
      <c r="B56" s="3">
        <v>17</v>
      </c>
    </row>
    <row r="57" spans="1:2" ht="13.2">
      <c r="A57" s="65">
        <v>45672</v>
      </c>
      <c r="B57" s="3">
        <v>10</v>
      </c>
    </row>
    <row r="58" spans="1:2" ht="13.2">
      <c r="A58" s="65">
        <v>45672</v>
      </c>
      <c r="B58" s="3">
        <v>12</v>
      </c>
    </row>
    <row r="59" spans="1:2" ht="13.2">
      <c r="A59" s="65">
        <v>45672</v>
      </c>
      <c r="B59" s="3">
        <v>7.5</v>
      </c>
    </row>
    <row r="60" spans="1:2" ht="18" customHeight="1">
      <c r="A60" s="65">
        <v>45672</v>
      </c>
      <c r="B60" s="3">
        <v>46.6</v>
      </c>
    </row>
    <row r="61" spans="1:2" ht="13.2">
      <c r="A61" s="65">
        <v>45672</v>
      </c>
      <c r="B61" s="3">
        <v>51.6</v>
      </c>
    </row>
    <row r="62" spans="1:2" ht="13.2">
      <c r="A62" s="65">
        <v>45672</v>
      </c>
      <c r="B62" s="3">
        <v>12.5</v>
      </c>
    </row>
    <row r="63" spans="1:2" ht="13.2">
      <c r="A63" s="65">
        <v>45672</v>
      </c>
      <c r="B63" s="3">
        <v>12</v>
      </c>
    </row>
    <row r="64" spans="1:2" ht="13.2">
      <c r="A64" s="65">
        <v>45673</v>
      </c>
      <c r="B64" s="3">
        <v>20</v>
      </c>
    </row>
    <row r="65" spans="1:2" ht="13.2">
      <c r="A65" s="65">
        <v>45673</v>
      </c>
      <c r="B65" s="3">
        <v>10</v>
      </c>
    </row>
    <row r="66" spans="1:2" ht="13.2">
      <c r="A66" s="65">
        <v>45673</v>
      </c>
      <c r="B66" s="3">
        <v>12</v>
      </c>
    </row>
    <row r="67" spans="1:2" ht="13.2">
      <c r="A67" s="65">
        <v>45673</v>
      </c>
      <c r="B67" s="3">
        <v>12</v>
      </c>
    </row>
    <row r="68" spans="1:2" ht="13.2">
      <c r="A68" s="65">
        <v>45673</v>
      </c>
      <c r="B68" s="3">
        <v>9.5</v>
      </c>
    </row>
    <row r="69" spans="1:2" ht="13.2">
      <c r="A69" s="65">
        <v>45673</v>
      </c>
      <c r="B69" s="3">
        <v>13.5</v>
      </c>
    </row>
    <row r="70" spans="1:2" ht="13.2">
      <c r="A70" s="65">
        <v>45674</v>
      </c>
      <c r="B70" s="3">
        <v>13</v>
      </c>
    </row>
    <row r="71" spans="1:2" ht="13.2">
      <c r="A71" s="65">
        <v>45674</v>
      </c>
      <c r="B71" s="3">
        <v>6</v>
      </c>
    </row>
    <row r="72" spans="1:2" ht="13.2">
      <c r="A72" s="65">
        <v>45674</v>
      </c>
      <c r="B72" s="3">
        <v>14.5</v>
      </c>
    </row>
    <row r="73" spans="1:2" ht="13.2">
      <c r="A73" s="65">
        <v>45677</v>
      </c>
      <c r="B73" s="3">
        <v>18</v>
      </c>
    </row>
    <row r="74" spans="1:2" ht="13.2">
      <c r="A74" s="65">
        <v>45677</v>
      </c>
      <c r="B74" s="3">
        <v>13.5</v>
      </c>
    </row>
    <row r="75" spans="1:2" ht="13.2">
      <c r="A75" s="65">
        <v>45677</v>
      </c>
      <c r="B75" s="3">
        <v>12</v>
      </c>
    </row>
    <row r="76" spans="1:2" ht="13.2">
      <c r="A76" s="65">
        <v>45677</v>
      </c>
      <c r="B76" s="3">
        <v>6</v>
      </c>
    </row>
    <row r="77" spans="1:2" ht="13.2">
      <c r="A77" s="65">
        <v>45677</v>
      </c>
      <c r="B77" s="3">
        <v>14</v>
      </c>
    </row>
    <row r="78" spans="1:2" ht="13.2">
      <c r="A78" s="65">
        <v>45677</v>
      </c>
      <c r="B78" s="3">
        <v>7</v>
      </c>
    </row>
    <row r="79" spans="1:2" ht="13.2">
      <c r="A79" s="65">
        <v>45677</v>
      </c>
      <c r="B79" s="3">
        <v>10</v>
      </c>
    </row>
    <row r="80" spans="1:2" ht="13.2">
      <c r="A80" s="65">
        <v>45678</v>
      </c>
      <c r="B80" s="3">
        <v>28</v>
      </c>
    </row>
    <row r="81" spans="1:2" ht="13.2">
      <c r="A81" s="65">
        <v>45678</v>
      </c>
      <c r="B81" s="3">
        <v>21.5</v>
      </c>
    </row>
    <row r="82" spans="1:2" ht="13.2">
      <c r="A82" s="65">
        <v>45678</v>
      </c>
      <c r="B82" s="3">
        <v>16</v>
      </c>
    </row>
    <row r="83" spans="1:2" ht="13.2">
      <c r="A83" s="65">
        <v>45678</v>
      </c>
      <c r="B83" s="3">
        <v>14.5</v>
      </c>
    </row>
    <row r="84" spans="1:2" ht="13.2">
      <c r="A84" s="65">
        <v>45679</v>
      </c>
      <c r="B84" s="3">
        <v>34.1</v>
      </c>
    </row>
    <row r="85" spans="1:2" ht="13.2">
      <c r="A85" s="65">
        <v>45679</v>
      </c>
      <c r="B85" s="3">
        <v>35.5</v>
      </c>
    </row>
    <row r="86" spans="1:2" ht="13.2">
      <c r="A86" s="65">
        <v>45679</v>
      </c>
      <c r="B86" s="3">
        <v>14.5</v>
      </c>
    </row>
    <row r="87" spans="1:2" ht="13.2">
      <c r="A87" s="65">
        <v>45679</v>
      </c>
      <c r="B87" s="3">
        <v>25</v>
      </c>
    </row>
    <row r="88" spans="1:2" ht="13.2">
      <c r="A88" s="65">
        <v>45679</v>
      </c>
      <c r="B88" s="3">
        <v>22</v>
      </c>
    </row>
    <row r="89" spans="1:2" ht="13.2">
      <c r="A89" s="65">
        <v>45679</v>
      </c>
      <c r="B89" s="3">
        <v>7</v>
      </c>
    </row>
    <row r="90" spans="1:2" ht="13.2">
      <c r="A90" s="65">
        <v>45679</v>
      </c>
      <c r="B90" s="3">
        <v>7</v>
      </c>
    </row>
    <row r="91" spans="1:2" ht="13.2">
      <c r="A91" s="65">
        <v>45680</v>
      </c>
      <c r="B91" s="8">
        <v>20</v>
      </c>
    </row>
    <row r="92" spans="1:2" ht="13.2">
      <c r="A92" s="65">
        <v>45680</v>
      </c>
      <c r="B92" s="3">
        <v>34.6</v>
      </c>
    </row>
    <row r="93" spans="1:2" ht="13.2">
      <c r="A93" s="65">
        <v>45680</v>
      </c>
      <c r="B93" s="8">
        <v>18</v>
      </c>
    </row>
    <row r="94" spans="1:2" ht="13.2">
      <c r="A94" s="65">
        <v>45680</v>
      </c>
      <c r="B94" s="3">
        <v>38.1</v>
      </c>
    </row>
    <row r="95" spans="1:2" ht="13.2">
      <c r="A95" s="65">
        <v>45681</v>
      </c>
      <c r="B95" s="3">
        <v>22.5</v>
      </c>
    </row>
    <row r="96" spans="1:2" ht="13.2">
      <c r="A96" s="65">
        <v>45681</v>
      </c>
      <c r="B96" s="3">
        <v>22</v>
      </c>
    </row>
    <row r="97" spans="1:2" ht="13.2">
      <c r="A97" s="65">
        <v>45681</v>
      </c>
      <c r="B97" s="3">
        <v>8</v>
      </c>
    </row>
    <row r="98" spans="1:2" ht="13.2">
      <c r="A98" s="65">
        <v>45681</v>
      </c>
      <c r="B98" s="3">
        <v>1</v>
      </c>
    </row>
    <row r="99" spans="1:2" ht="13.2">
      <c r="A99" s="65">
        <v>45681</v>
      </c>
      <c r="B99" s="3">
        <v>16</v>
      </c>
    </row>
    <row r="100" spans="1:2" ht="13.2">
      <c r="A100" s="65">
        <v>45681</v>
      </c>
      <c r="B100" s="3">
        <v>14</v>
      </c>
    </row>
    <row r="101" spans="1:2" ht="13.2">
      <c r="A101" s="65">
        <v>45681</v>
      </c>
      <c r="B101" s="3">
        <v>18</v>
      </c>
    </row>
    <row r="102" spans="1:2" ht="13.2">
      <c r="A102" s="65">
        <v>45682</v>
      </c>
      <c r="B102" s="3">
        <v>22</v>
      </c>
    </row>
    <row r="103" spans="1:2" ht="13.2">
      <c r="A103" s="65">
        <v>45682</v>
      </c>
      <c r="B103" s="3">
        <v>24</v>
      </c>
    </row>
    <row r="104" spans="1:2" ht="13.2">
      <c r="A104" s="65">
        <v>45682</v>
      </c>
      <c r="B104" s="3">
        <v>22</v>
      </c>
    </row>
    <row r="105" spans="1:2" ht="13.2">
      <c r="A105" s="42">
        <v>45684</v>
      </c>
      <c r="B105" s="10">
        <v>30</v>
      </c>
    </row>
    <row r="106" spans="1:2" ht="13.2">
      <c r="A106" s="42">
        <v>45684</v>
      </c>
      <c r="B106" s="10">
        <v>27</v>
      </c>
    </row>
    <row r="107" spans="1:2" ht="13.2">
      <c r="A107" s="65">
        <v>45685</v>
      </c>
      <c r="B107" s="3">
        <v>15.5</v>
      </c>
    </row>
    <row r="108" spans="1:2" ht="13.2">
      <c r="A108" s="65">
        <v>45685</v>
      </c>
      <c r="B108" s="6">
        <v>45</v>
      </c>
    </row>
    <row r="109" spans="1:2" ht="13.2">
      <c r="A109" s="65">
        <v>45685</v>
      </c>
      <c r="B109" s="10">
        <v>14.5</v>
      </c>
    </row>
    <row r="110" spans="1:2" ht="13.2">
      <c r="A110" s="65">
        <v>45685</v>
      </c>
      <c r="B110" s="10">
        <v>20</v>
      </c>
    </row>
    <row r="111" spans="1:2" ht="13.2">
      <c r="A111" s="65">
        <v>45685</v>
      </c>
      <c r="B111" s="3">
        <v>16</v>
      </c>
    </row>
    <row r="112" spans="1:2" ht="13.2">
      <c r="A112" s="65">
        <v>45685</v>
      </c>
      <c r="B112" s="10">
        <v>15</v>
      </c>
    </row>
    <row r="113" spans="1:2" ht="13.2">
      <c r="A113" s="65">
        <v>45685</v>
      </c>
      <c r="B113" s="10">
        <v>12</v>
      </c>
    </row>
    <row r="114" spans="1:2" ht="13.2">
      <c r="A114" s="65">
        <v>45685</v>
      </c>
      <c r="B114" s="10">
        <v>12</v>
      </c>
    </row>
    <row r="115" spans="1:2" ht="13.2">
      <c r="A115" s="65">
        <v>45686</v>
      </c>
      <c r="B115" s="3">
        <v>47</v>
      </c>
    </row>
    <row r="116" spans="1:2" ht="13.2">
      <c r="A116" s="65">
        <v>45686</v>
      </c>
      <c r="B116" s="3">
        <v>30</v>
      </c>
    </row>
    <row r="117" spans="1:2" ht="13.2">
      <c r="A117" s="65">
        <v>45686</v>
      </c>
      <c r="B117" s="10">
        <v>6.6</v>
      </c>
    </row>
    <row r="118" spans="1:2" ht="13.2">
      <c r="A118" s="65">
        <v>45686</v>
      </c>
      <c r="B118" s="10">
        <v>14.5</v>
      </c>
    </row>
    <row r="119" spans="1:2" ht="13.2">
      <c r="A119" s="65">
        <v>45686</v>
      </c>
      <c r="B119" s="10">
        <v>15</v>
      </c>
    </row>
    <row r="120" spans="1:2" ht="13.2">
      <c r="A120" s="65">
        <v>45686</v>
      </c>
      <c r="B120" s="10">
        <v>46.6</v>
      </c>
    </row>
    <row r="121" spans="1:2" ht="13.2">
      <c r="A121" s="42">
        <v>45687</v>
      </c>
      <c r="B121" s="10">
        <v>16</v>
      </c>
    </row>
    <row r="122" spans="1:2" ht="13.2">
      <c r="A122" s="42">
        <v>45687</v>
      </c>
      <c r="B122" s="10">
        <v>16</v>
      </c>
    </row>
    <row r="123" spans="1:2" ht="13.2">
      <c r="A123" s="42">
        <v>45687</v>
      </c>
      <c r="B123" s="10">
        <v>16</v>
      </c>
    </row>
    <row r="124" spans="1:2" ht="13.2">
      <c r="A124" s="230">
        <v>45687</v>
      </c>
      <c r="B124" s="11">
        <v>14.5</v>
      </c>
    </row>
    <row r="125" spans="1:2" ht="13.2">
      <c r="A125" s="42">
        <v>45688</v>
      </c>
      <c r="B125" s="10">
        <v>15</v>
      </c>
    </row>
    <row r="126" spans="1:2" ht="13.2">
      <c r="A126" s="42">
        <v>45688</v>
      </c>
      <c r="B126" s="10">
        <v>8.9</v>
      </c>
    </row>
    <row r="127" spans="1:2" ht="13.2">
      <c r="A127" s="42">
        <v>45688</v>
      </c>
      <c r="B127" s="10">
        <v>16</v>
      </c>
    </row>
    <row r="128" spans="1:2" ht="13.2">
      <c r="A128" s="231">
        <v>45689</v>
      </c>
      <c r="B128" s="12">
        <v>14.5</v>
      </c>
    </row>
    <row r="129" spans="1:2" ht="13.2">
      <c r="A129" s="231">
        <v>45690</v>
      </c>
      <c r="B129" s="10">
        <v>17</v>
      </c>
    </row>
    <row r="130" spans="1:2" ht="13.2">
      <c r="A130" s="42">
        <v>45691</v>
      </c>
      <c r="B130" s="10">
        <v>20.5</v>
      </c>
    </row>
    <row r="131" spans="1:2" ht="13.2">
      <c r="A131" s="42">
        <v>45691</v>
      </c>
      <c r="B131" s="10">
        <v>23</v>
      </c>
    </row>
    <row r="132" spans="1:2" ht="13.2">
      <c r="A132" s="42">
        <v>45691</v>
      </c>
      <c r="B132" s="10">
        <v>15</v>
      </c>
    </row>
    <row r="133" spans="1:2" ht="13.2">
      <c r="A133" s="42">
        <v>45691</v>
      </c>
      <c r="B133" s="10">
        <v>27</v>
      </c>
    </row>
    <row r="134" spans="1:2" ht="13.2">
      <c r="A134" s="42">
        <v>45691</v>
      </c>
      <c r="B134" s="10">
        <v>13</v>
      </c>
    </row>
    <row r="135" spans="1:2" ht="13.2">
      <c r="A135" s="42">
        <v>45692</v>
      </c>
      <c r="B135" s="10">
        <v>20</v>
      </c>
    </row>
    <row r="136" spans="1:2" ht="13.2">
      <c r="A136" s="42">
        <v>45692</v>
      </c>
      <c r="B136" s="10">
        <v>20</v>
      </c>
    </row>
    <row r="137" spans="1:2" ht="13.2">
      <c r="A137" s="42">
        <v>45693</v>
      </c>
      <c r="B137" s="10">
        <v>12</v>
      </c>
    </row>
    <row r="138" spans="1:2" ht="13.2">
      <c r="A138" s="42">
        <v>45693</v>
      </c>
      <c r="B138" s="10">
        <v>85</v>
      </c>
    </row>
    <row r="139" spans="1:2" ht="13.2">
      <c r="A139" s="42">
        <v>45693</v>
      </c>
      <c r="B139" s="10">
        <v>95</v>
      </c>
    </row>
    <row r="140" spans="1:2" ht="13.2">
      <c r="A140" s="42">
        <v>45693</v>
      </c>
      <c r="B140" s="3">
        <v>13.5</v>
      </c>
    </row>
    <row r="141" spans="1:2" ht="13.2">
      <c r="A141" s="65">
        <v>45694</v>
      </c>
      <c r="B141" s="3">
        <v>20</v>
      </c>
    </row>
    <row r="142" spans="1:2" ht="13.2">
      <c r="A142" s="65">
        <v>45694</v>
      </c>
      <c r="B142" s="3">
        <v>38.5</v>
      </c>
    </row>
    <row r="143" spans="1:2" ht="13.2">
      <c r="A143" s="65">
        <v>45694</v>
      </c>
      <c r="B143" s="3">
        <v>32.5</v>
      </c>
    </row>
    <row r="144" spans="1:2" ht="13.2">
      <c r="A144" s="65">
        <v>45694</v>
      </c>
      <c r="B144" s="3">
        <v>13</v>
      </c>
    </row>
    <row r="145" spans="1:2" ht="13.2">
      <c r="A145" s="42">
        <v>45695</v>
      </c>
      <c r="B145" s="10">
        <v>20</v>
      </c>
    </row>
    <row r="146" spans="1:2" ht="13.2">
      <c r="A146" s="42">
        <v>45695</v>
      </c>
      <c r="B146" s="3">
        <v>29</v>
      </c>
    </row>
    <row r="147" spans="1:2" ht="13.2">
      <c r="A147" s="42">
        <v>45695</v>
      </c>
      <c r="B147" s="3">
        <v>26</v>
      </c>
    </row>
    <row r="148" spans="1:2" ht="13.2">
      <c r="A148" s="42">
        <v>45695</v>
      </c>
      <c r="B148" s="3">
        <v>18.3</v>
      </c>
    </row>
    <row r="149" spans="1:2" ht="13.2">
      <c r="A149" s="42">
        <v>45695</v>
      </c>
      <c r="B149" s="3">
        <v>20.9</v>
      </c>
    </row>
    <row r="150" spans="1:2" ht="13.2">
      <c r="A150" s="65">
        <v>45696</v>
      </c>
      <c r="B150" s="3">
        <v>48</v>
      </c>
    </row>
    <row r="151" spans="1:2" ht="13.2">
      <c r="A151" s="65">
        <v>45696</v>
      </c>
      <c r="B151" s="3">
        <v>49.5</v>
      </c>
    </row>
    <row r="152" spans="1:2" ht="13.2">
      <c r="A152" s="65">
        <v>45696</v>
      </c>
      <c r="B152" s="13">
        <v>9</v>
      </c>
    </row>
    <row r="153" spans="1:2" ht="13.2">
      <c r="A153" s="42">
        <v>45698</v>
      </c>
      <c r="B153" s="10">
        <v>31.5</v>
      </c>
    </row>
    <row r="154" spans="1:2" ht="13.2">
      <c r="A154" s="42">
        <v>45698</v>
      </c>
      <c r="B154" s="10">
        <v>35</v>
      </c>
    </row>
    <row r="155" spans="1:2" ht="13.2">
      <c r="A155" s="42">
        <v>45698</v>
      </c>
      <c r="B155" s="10">
        <v>7.5</v>
      </c>
    </row>
    <row r="156" spans="1:2" ht="13.2">
      <c r="A156" s="42">
        <v>45698</v>
      </c>
      <c r="B156" s="10">
        <v>15</v>
      </c>
    </row>
    <row r="157" spans="1:2" ht="13.2">
      <c r="A157" s="42">
        <v>45698</v>
      </c>
      <c r="B157" s="10">
        <v>10</v>
      </c>
    </row>
    <row r="158" spans="1:2" ht="13.2">
      <c r="A158" s="42">
        <v>45698</v>
      </c>
      <c r="B158" s="10">
        <v>22</v>
      </c>
    </row>
    <row r="159" spans="1:2" ht="13.2">
      <c r="A159" s="42">
        <v>45698</v>
      </c>
      <c r="B159" s="10">
        <v>16.5</v>
      </c>
    </row>
    <row r="160" spans="1:2" ht="13.2">
      <c r="A160" s="42">
        <v>45698</v>
      </c>
      <c r="B160" s="10">
        <v>19.5</v>
      </c>
    </row>
    <row r="161" spans="1:2" ht="13.2">
      <c r="A161" s="42">
        <v>45698</v>
      </c>
      <c r="B161" s="10">
        <v>13</v>
      </c>
    </row>
    <row r="162" spans="1:2" ht="13.2">
      <c r="A162" s="42">
        <v>45699</v>
      </c>
      <c r="B162" s="10">
        <v>35.5</v>
      </c>
    </row>
    <row r="163" spans="1:2" ht="13.2">
      <c r="A163" s="42">
        <v>45699</v>
      </c>
      <c r="B163" s="10">
        <v>30</v>
      </c>
    </row>
    <row r="164" spans="1:2" ht="13.2">
      <c r="A164" s="42">
        <v>45699</v>
      </c>
      <c r="B164" s="10">
        <v>28</v>
      </c>
    </row>
    <row r="165" spans="1:2" ht="13.2">
      <c r="A165" s="42">
        <v>45699</v>
      </c>
      <c r="B165" s="10">
        <v>10.5</v>
      </c>
    </row>
    <row r="166" spans="1:2" ht="13.2">
      <c r="A166" s="42">
        <v>45699</v>
      </c>
      <c r="B166" s="10">
        <v>21.5</v>
      </c>
    </row>
    <row r="167" spans="1:2" ht="13.2">
      <c r="A167" s="42">
        <v>45699</v>
      </c>
      <c r="B167" s="10">
        <v>21</v>
      </c>
    </row>
    <row r="168" spans="1:2" ht="13.2">
      <c r="A168" s="42">
        <v>45699</v>
      </c>
      <c r="B168" s="10">
        <v>25.5</v>
      </c>
    </row>
    <row r="169" spans="1:2" ht="13.2">
      <c r="A169" s="42">
        <v>45699</v>
      </c>
      <c r="B169" s="10">
        <v>18</v>
      </c>
    </row>
    <row r="170" spans="1:2" ht="13.2">
      <c r="A170" s="42">
        <v>45699</v>
      </c>
      <c r="B170" s="10">
        <v>19.5</v>
      </c>
    </row>
    <row r="171" spans="1:2" ht="13.2">
      <c r="A171" s="42">
        <v>45700</v>
      </c>
      <c r="B171" s="10">
        <v>31.5</v>
      </c>
    </row>
    <row r="172" spans="1:2" ht="13.2">
      <c r="A172" s="42">
        <v>45700</v>
      </c>
      <c r="B172" s="10"/>
    </row>
    <row r="173" spans="1:2" ht="13.2">
      <c r="A173" s="42">
        <v>45700</v>
      </c>
      <c r="B173" s="10">
        <v>21</v>
      </c>
    </row>
    <row r="174" spans="1:2" ht="13.2">
      <c r="A174" s="42">
        <v>45700</v>
      </c>
      <c r="B174" s="10">
        <v>9</v>
      </c>
    </row>
    <row r="175" spans="1:2" ht="13.2">
      <c r="A175" s="42">
        <v>45700</v>
      </c>
      <c r="B175" s="10">
        <v>18</v>
      </c>
    </row>
    <row r="176" spans="1:2" ht="13.2">
      <c r="A176" s="42">
        <v>45700</v>
      </c>
      <c r="B176" s="10">
        <v>28</v>
      </c>
    </row>
    <row r="177" spans="1:2" ht="13.2">
      <c r="A177" s="42">
        <v>45701</v>
      </c>
      <c r="B177" s="10">
        <v>25</v>
      </c>
    </row>
    <row r="178" spans="1:2" ht="13.2">
      <c r="A178" s="42">
        <v>45701</v>
      </c>
      <c r="B178" s="10">
        <v>20</v>
      </c>
    </row>
    <row r="179" spans="1:2" ht="13.2">
      <c r="A179" s="42">
        <v>45701</v>
      </c>
      <c r="B179" s="10">
        <v>10</v>
      </c>
    </row>
    <row r="180" spans="1:2" ht="13.2">
      <c r="A180" s="42">
        <v>45701</v>
      </c>
      <c r="B180" s="10">
        <v>57</v>
      </c>
    </row>
    <row r="181" spans="1:2" ht="13.2">
      <c r="A181" s="42">
        <v>45701</v>
      </c>
      <c r="B181" s="10">
        <v>40</v>
      </c>
    </row>
    <row r="182" spans="1:2" ht="13.2">
      <c r="A182" s="42">
        <v>45701</v>
      </c>
      <c r="B182" s="10">
        <v>7.5</v>
      </c>
    </row>
    <row r="183" spans="1:2" ht="13.2">
      <c r="A183" s="42">
        <v>45701</v>
      </c>
      <c r="B183" s="10">
        <v>15</v>
      </c>
    </row>
    <row r="184" spans="1:2" ht="13.2">
      <c r="A184" s="42">
        <v>45701</v>
      </c>
      <c r="B184" s="10">
        <v>22.7</v>
      </c>
    </row>
    <row r="185" spans="1:2" ht="13.2">
      <c r="A185" s="42">
        <v>45702</v>
      </c>
      <c r="B185" s="10">
        <v>30.5</v>
      </c>
    </row>
    <row r="186" spans="1:2" ht="13.2">
      <c r="A186" s="42">
        <v>45702</v>
      </c>
      <c r="B186" s="10">
        <v>48</v>
      </c>
    </row>
    <row r="187" spans="1:2" ht="13.2">
      <c r="A187" s="42">
        <v>45702</v>
      </c>
      <c r="B187" s="10">
        <v>29</v>
      </c>
    </row>
    <row r="188" spans="1:2" ht="13.2">
      <c r="A188" s="42">
        <v>45702</v>
      </c>
      <c r="B188" s="10">
        <v>27.2</v>
      </c>
    </row>
    <row r="189" spans="1:2" ht="13.2">
      <c r="A189" s="42">
        <v>45702</v>
      </c>
      <c r="B189" s="3">
        <v>39</v>
      </c>
    </row>
    <row r="190" spans="1:2" ht="13.2">
      <c r="A190" s="42">
        <v>45703</v>
      </c>
      <c r="B190" s="3">
        <v>20</v>
      </c>
    </row>
    <row r="191" spans="1:2" ht="13.2">
      <c r="A191" s="42">
        <v>45703</v>
      </c>
      <c r="B191" s="3">
        <v>38.6</v>
      </c>
    </row>
    <row r="192" spans="1:2" ht="13.2">
      <c r="A192" s="42">
        <v>45703</v>
      </c>
      <c r="B192" s="3">
        <v>10</v>
      </c>
    </row>
    <row r="193" spans="1:2" ht="13.2">
      <c r="A193" s="42">
        <v>45703</v>
      </c>
      <c r="B193" s="3">
        <v>20</v>
      </c>
    </row>
    <row r="194" spans="1:2" ht="13.2">
      <c r="A194" s="42">
        <v>45703</v>
      </c>
      <c r="B194" s="3">
        <v>27</v>
      </c>
    </row>
    <row r="195" spans="1:2" ht="13.2">
      <c r="A195" s="42">
        <v>45703</v>
      </c>
      <c r="B195" s="3">
        <v>10</v>
      </c>
    </row>
    <row r="196" spans="1:2" ht="13.2">
      <c r="A196" s="42">
        <v>45703</v>
      </c>
      <c r="B196" s="3">
        <v>12</v>
      </c>
    </row>
    <row r="197" spans="1:2" ht="13.2">
      <c r="A197" s="42">
        <v>45703</v>
      </c>
      <c r="B197" s="3">
        <v>17.2</v>
      </c>
    </row>
    <row r="198" spans="1:2" ht="13.2">
      <c r="A198" s="42">
        <v>45703</v>
      </c>
      <c r="B198" s="3">
        <v>18.5</v>
      </c>
    </row>
    <row r="199" spans="1:2" ht="13.2">
      <c r="A199" s="42">
        <v>45703</v>
      </c>
      <c r="B199" s="3">
        <v>18.5</v>
      </c>
    </row>
    <row r="200" spans="1:2" ht="13.2">
      <c r="A200" s="42">
        <v>45703</v>
      </c>
      <c r="B200" s="3">
        <v>8.1999999999999993</v>
      </c>
    </row>
    <row r="201" spans="1:2" ht="13.2">
      <c r="A201" s="42">
        <v>45703</v>
      </c>
      <c r="B201" s="3">
        <v>14.5</v>
      </c>
    </row>
    <row r="202" spans="1:2" ht="13.2">
      <c r="A202" s="42">
        <v>45703</v>
      </c>
      <c r="B202" s="3">
        <v>12</v>
      </c>
    </row>
    <row r="203" spans="1:2" ht="13.2">
      <c r="A203" s="42">
        <v>45703</v>
      </c>
      <c r="B203" s="10">
        <v>11</v>
      </c>
    </row>
    <row r="204" spans="1:2" ht="13.2">
      <c r="A204" s="42">
        <v>45703</v>
      </c>
      <c r="B204" s="10">
        <v>60</v>
      </c>
    </row>
    <row r="205" spans="1:2" ht="13.2">
      <c r="A205" s="42">
        <v>45705</v>
      </c>
      <c r="B205" s="14">
        <v>12</v>
      </c>
    </row>
    <row r="206" spans="1:2" ht="13.2">
      <c r="A206" s="42">
        <v>45705</v>
      </c>
      <c r="B206" s="10">
        <v>21</v>
      </c>
    </row>
    <row r="207" spans="1:2" ht="13.2">
      <c r="A207" s="42">
        <v>45705</v>
      </c>
      <c r="B207" s="10">
        <v>21</v>
      </c>
    </row>
    <row r="208" spans="1:2" ht="13.2">
      <c r="A208" s="42">
        <v>45706</v>
      </c>
      <c r="B208" s="3">
        <v>20</v>
      </c>
    </row>
    <row r="209" spans="1:14" ht="13.2">
      <c r="A209" s="42">
        <v>45706</v>
      </c>
      <c r="B209" s="3">
        <v>29.1</v>
      </c>
    </row>
    <row r="210" spans="1:14" ht="13.2">
      <c r="A210" s="42">
        <v>45706</v>
      </c>
      <c r="B210" s="3">
        <v>20</v>
      </c>
    </row>
    <row r="211" spans="1:14" ht="13.2">
      <c r="A211" s="42">
        <v>45706</v>
      </c>
      <c r="B211" s="3">
        <v>26</v>
      </c>
    </row>
    <row r="212" spans="1:14" ht="13.2">
      <c r="A212" s="42">
        <v>45706</v>
      </c>
      <c r="B212" s="3">
        <v>17</v>
      </c>
    </row>
    <row r="213" spans="1:14" ht="13.2">
      <c r="A213" s="42">
        <v>45706</v>
      </c>
      <c r="B213" s="3">
        <v>23.5</v>
      </c>
    </row>
    <row r="214" spans="1:14" ht="13.2">
      <c r="A214" s="42">
        <v>45706</v>
      </c>
      <c r="B214" s="3">
        <v>18</v>
      </c>
    </row>
    <row r="215" spans="1:14" ht="13.2">
      <c r="A215" s="42">
        <v>45706</v>
      </c>
      <c r="B215" s="3">
        <v>20</v>
      </c>
    </row>
    <row r="216" spans="1:14" ht="13.2">
      <c r="A216" s="42">
        <v>45706</v>
      </c>
      <c r="B216" s="3">
        <v>18</v>
      </c>
    </row>
    <row r="217" spans="1:14" ht="13.2">
      <c r="A217" s="42">
        <v>45706</v>
      </c>
      <c r="B217" s="3">
        <v>60</v>
      </c>
    </row>
    <row r="218" spans="1:14" ht="13.2">
      <c r="A218" s="42">
        <v>45706</v>
      </c>
      <c r="B218" s="3">
        <v>22.5</v>
      </c>
    </row>
    <row r="219" spans="1:14" ht="13.2">
      <c r="A219" s="42">
        <v>45706</v>
      </c>
      <c r="B219" s="3">
        <v>60</v>
      </c>
    </row>
    <row r="220" spans="1:14" ht="13.2">
      <c r="A220" s="42">
        <v>45706</v>
      </c>
      <c r="B220" s="3">
        <v>13</v>
      </c>
    </row>
    <row r="221" spans="1:14" ht="13.2">
      <c r="A221" s="42">
        <v>45706</v>
      </c>
      <c r="B221" s="3">
        <v>5</v>
      </c>
    </row>
    <row r="222" spans="1:14" ht="13.2">
      <c r="A222" s="42">
        <v>45708</v>
      </c>
      <c r="B222" s="3">
        <v>15</v>
      </c>
      <c r="E222" s="2"/>
      <c r="K222" s="2"/>
      <c r="L222" s="2"/>
      <c r="M222" s="2"/>
      <c r="N222" s="2"/>
    </row>
    <row r="223" spans="1:14" ht="13.2">
      <c r="A223" s="42">
        <v>45708</v>
      </c>
      <c r="B223" s="3">
        <v>50</v>
      </c>
      <c r="E223" s="2"/>
      <c r="K223" s="2"/>
      <c r="L223" s="2"/>
      <c r="M223" s="2"/>
      <c r="N223" s="2"/>
    </row>
    <row r="224" spans="1:14" ht="13.2">
      <c r="A224" s="42">
        <v>45708</v>
      </c>
      <c r="B224" s="3">
        <v>15.1</v>
      </c>
      <c r="E224" s="2"/>
      <c r="K224" s="2"/>
      <c r="L224" s="2"/>
      <c r="M224" s="2"/>
      <c r="N224" s="2"/>
    </row>
    <row r="225" spans="1:14" ht="13.2">
      <c r="A225" s="42">
        <v>45708</v>
      </c>
      <c r="B225" s="3">
        <v>7</v>
      </c>
      <c r="E225" s="2"/>
      <c r="K225" s="2"/>
      <c r="L225" s="2"/>
      <c r="M225" s="2"/>
      <c r="N225" s="2"/>
    </row>
    <row r="226" spans="1:14" ht="13.2">
      <c r="A226" s="42">
        <v>45708</v>
      </c>
      <c r="B226" s="3">
        <v>15</v>
      </c>
      <c r="E226" s="2"/>
      <c r="K226" s="2"/>
      <c r="L226" s="2"/>
      <c r="M226" s="2"/>
      <c r="N226" s="2"/>
    </row>
    <row r="227" spans="1:14" ht="13.2">
      <c r="A227" s="42">
        <v>45708</v>
      </c>
      <c r="B227" s="3">
        <v>30</v>
      </c>
      <c r="C227" s="2"/>
      <c r="D227" s="2"/>
      <c r="E227" s="2"/>
      <c r="K227" s="2"/>
      <c r="L227" s="2"/>
      <c r="M227" s="2"/>
      <c r="N227" s="2"/>
    </row>
    <row r="228" spans="1:14" ht="13.2">
      <c r="A228" s="42">
        <v>45708</v>
      </c>
      <c r="B228" s="3">
        <v>33</v>
      </c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</row>
    <row r="229" spans="1:14" ht="13.2">
      <c r="A229" s="42">
        <v>45708</v>
      </c>
      <c r="B229" s="3">
        <v>24.5</v>
      </c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</row>
    <row r="230" spans="1:14" ht="13.2">
      <c r="A230" s="42">
        <v>45708</v>
      </c>
      <c r="B230" s="3">
        <v>15.5</v>
      </c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</row>
    <row r="231" spans="1:14" ht="13.2">
      <c r="A231" s="42">
        <v>45708</v>
      </c>
      <c r="B231" s="3">
        <v>21.5</v>
      </c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</row>
    <row r="232" spans="1:14" ht="13.2">
      <c r="A232" s="42">
        <v>45708</v>
      </c>
      <c r="B232" s="3">
        <v>24</v>
      </c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</row>
    <row r="233" spans="1:14" ht="13.2">
      <c r="A233" s="42">
        <v>45708</v>
      </c>
      <c r="B233" s="3">
        <v>60</v>
      </c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</row>
    <row r="234" spans="1:14" ht="13.2">
      <c r="A234" s="42">
        <v>45708</v>
      </c>
      <c r="B234" s="3">
        <v>60</v>
      </c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</row>
    <row r="235" spans="1:14" ht="13.2">
      <c r="A235" s="42">
        <v>45708</v>
      </c>
      <c r="B235" s="3">
        <v>46</v>
      </c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</row>
    <row r="236" spans="1:14" ht="13.2">
      <c r="A236" s="42">
        <v>45709</v>
      </c>
      <c r="B236" s="3">
        <v>10</v>
      </c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</row>
    <row r="237" spans="1:14" ht="13.2">
      <c r="A237" s="42">
        <v>45709</v>
      </c>
      <c r="B237" s="3">
        <v>10</v>
      </c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</row>
    <row r="238" spans="1:14" ht="13.2">
      <c r="A238" s="42">
        <v>45709</v>
      </c>
      <c r="B238" s="3">
        <v>8.3000000000000007</v>
      </c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</row>
    <row r="239" spans="1:14" ht="13.2">
      <c r="A239" s="42">
        <v>45709</v>
      </c>
      <c r="B239" s="3">
        <v>8.5</v>
      </c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</row>
    <row r="240" spans="1:14" ht="13.2">
      <c r="A240" s="42">
        <v>45709</v>
      </c>
      <c r="B240" s="3">
        <v>37.1</v>
      </c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</row>
    <row r="241" spans="1:14" ht="13.2">
      <c r="A241" s="42">
        <v>45709</v>
      </c>
      <c r="B241" s="3">
        <v>12</v>
      </c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</row>
    <row r="242" spans="1:14" ht="13.2">
      <c r="A242" s="42">
        <v>45709</v>
      </c>
      <c r="B242" s="3">
        <v>37.1</v>
      </c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</row>
    <row r="243" spans="1:14" ht="13.2">
      <c r="A243" s="42">
        <v>45709</v>
      </c>
      <c r="B243" s="3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</row>
    <row r="244" spans="1:14" ht="13.2">
      <c r="A244" s="42">
        <v>45709</v>
      </c>
      <c r="B244" s="3">
        <v>11</v>
      </c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</row>
    <row r="245" spans="1:14" ht="13.2">
      <c r="A245" s="42">
        <v>45710</v>
      </c>
      <c r="B245" s="3">
        <v>16.5</v>
      </c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</row>
    <row r="246" spans="1:14" ht="13.2">
      <c r="A246" s="42">
        <v>45710</v>
      </c>
      <c r="B246" s="15">
        <v>51.6</v>
      </c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</row>
    <row r="247" spans="1:14" ht="13.2">
      <c r="A247" s="42">
        <v>45710</v>
      </c>
      <c r="B247" s="16">
        <v>13</v>
      </c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</row>
    <row r="248" spans="1:14" ht="13.2">
      <c r="A248" s="42">
        <v>45710</v>
      </c>
      <c r="B248" s="3">
        <v>5</v>
      </c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</row>
    <row r="249" spans="1:14" ht="13.2">
      <c r="A249" s="42">
        <v>45710</v>
      </c>
      <c r="B249" s="15">
        <v>80</v>
      </c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</row>
    <row r="250" spans="1:14" ht="13.2">
      <c r="A250" s="42">
        <v>45710</v>
      </c>
      <c r="B250" s="16">
        <v>7.4</v>
      </c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</row>
    <row r="251" spans="1:14" ht="13.2">
      <c r="A251" s="42">
        <v>45710</v>
      </c>
      <c r="B251" s="3">
        <v>3</v>
      </c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</row>
    <row r="252" spans="1:14" ht="13.2">
      <c r="A252" s="42">
        <v>45710</v>
      </c>
      <c r="B252" s="3">
        <v>14.5</v>
      </c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</row>
    <row r="253" spans="1:14" ht="13.2">
      <c r="A253" s="42">
        <v>45710</v>
      </c>
      <c r="B253" s="3">
        <v>10</v>
      </c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</row>
    <row r="254" spans="1:14" ht="13.2">
      <c r="A254" s="42">
        <v>45710</v>
      </c>
      <c r="B254" s="3">
        <v>57.6</v>
      </c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</row>
    <row r="255" spans="1:14" ht="13.2">
      <c r="A255" s="42">
        <v>45710</v>
      </c>
      <c r="B255" s="3">
        <v>9</v>
      </c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</row>
    <row r="256" spans="1:14" ht="13.2">
      <c r="A256" s="42">
        <v>45710</v>
      </c>
      <c r="B256" s="3">
        <v>9</v>
      </c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</row>
    <row r="257" spans="1:14" ht="13.2">
      <c r="A257" s="42">
        <v>45710</v>
      </c>
      <c r="B257" s="3">
        <v>16.2</v>
      </c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</row>
    <row r="258" spans="1:14" ht="13.2">
      <c r="A258" s="42">
        <v>45712</v>
      </c>
      <c r="B258" s="15">
        <v>40</v>
      </c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</row>
    <row r="259" spans="1:14" ht="13.2">
      <c r="A259" s="42">
        <v>45712</v>
      </c>
      <c r="B259" s="6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</row>
    <row r="260" spans="1:14" ht="13.2">
      <c r="A260" s="42">
        <v>45712</v>
      </c>
      <c r="B260" s="3">
        <v>28.6</v>
      </c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</row>
    <row r="261" spans="1:14" ht="13.2">
      <c r="A261" s="42">
        <v>45712</v>
      </c>
      <c r="B261" s="3">
        <v>30</v>
      </c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</row>
    <row r="262" spans="1:14" ht="13.2">
      <c r="A262" s="42">
        <v>45712</v>
      </c>
      <c r="B262" s="3">
        <v>12</v>
      </c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</row>
    <row r="263" spans="1:14" ht="13.2">
      <c r="A263" s="42">
        <v>45712</v>
      </c>
      <c r="B263" s="3">
        <v>19.3</v>
      </c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</row>
    <row r="264" spans="1:14" ht="13.2">
      <c r="A264" s="42">
        <v>45712</v>
      </c>
      <c r="B264" s="3">
        <v>12.5</v>
      </c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</row>
    <row r="265" spans="1:14" ht="13.2">
      <c r="A265" s="42">
        <v>45712</v>
      </c>
      <c r="B265" s="3">
        <v>20</v>
      </c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</row>
    <row r="266" spans="1:14" ht="13.2">
      <c r="A266" s="42">
        <v>45712</v>
      </c>
      <c r="B266" s="3">
        <v>23.5</v>
      </c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</row>
    <row r="267" spans="1:14" ht="13.2">
      <c r="A267" s="42">
        <v>45712</v>
      </c>
      <c r="B267" s="3">
        <v>39</v>
      </c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</row>
    <row r="268" spans="1:14" ht="13.2">
      <c r="A268" s="42">
        <v>45713</v>
      </c>
      <c r="B268" s="3">
        <v>35</v>
      </c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</row>
    <row r="269" spans="1:14" ht="13.2">
      <c r="A269" s="42">
        <v>45713</v>
      </c>
      <c r="B269" s="3">
        <v>19.5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</row>
    <row r="270" spans="1:14" ht="13.2">
      <c r="A270" s="42">
        <v>45713</v>
      </c>
      <c r="B270" s="3">
        <v>15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</row>
    <row r="271" spans="1:14" ht="13.2">
      <c r="A271" s="42">
        <v>45713</v>
      </c>
      <c r="B271" s="3">
        <v>7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</row>
    <row r="272" spans="1:14" ht="13.2">
      <c r="A272" s="42">
        <v>45713</v>
      </c>
      <c r="B272" s="17">
        <v>27.7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</row>
    <row r="273" spans="1:14" ht="13.2">
      <c r="A273" s="42">
        <v>45713</v>
      </c>
      <c r="B273" s="17">
        <v>20</v>
      </c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</row>
    <row r="274" spans="1:14" ht="13.2">
      <c r="A274" s="42">
        <v>45714</v>
      </c>
      <c r="B274" s="17">
        <v>18</v>
      </c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</row>
    <row r="275" spans="1:14" ht="13.2">
      <c r="A275" s="42">
        <v>45714</v>
      </c>
      <c r="B275" s="17">
        <v>21</v>
      </c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</row>
    <row r="276" spans="1:14" ht="13.2">
      <c r="A276" s="42">
        <v>45714</v>
      </c>
      <c r="B276" s="17">
        <v>18</v>
      </c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</row>
    <row r="277" spans="1:14" ht="13.2">
      <c r="A277" s="42">
        <v>45714</v>
      </c>
      <c r="B277" s="17">
        <v>25</v>
      </c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</row>
    <row r="278" spans="1:14" ht="13.2">
      <c r="A278" s="42">
        <v>45714</v>
      </c>
      <c r="B278" s="17">
        <v>26.5</v>
      </c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</row>
    <row r="279" spans="1:14" ht="13.2">
      <c r="A279" s="42">
        <v>45714</v>
      </c>
      <c r="B279" s="17">
        <v>20.5</v>
      </c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</row>
    <row r="280" spans="1:14" ht="13.2">
      <c r="A280" s="42">
        <v>45714</v>
      </c>
      <c r="B280" s="3">
        <v>3</v>
      </c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</row>
    <row r="281" spans="1:14" ht="13.2">
      <c r="A281" s="42">
        <v>45714</v>
      </c>
      <c r="B281" s="3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</row>
    <row r="282" spans="1:14" ht="13.2">
      <c r="A282" s="42">
        <v>45714</v>
      </c>
      <c r="B282" s="3">
        <v>2.4</v>
      </c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</row>
    <row r="283" spans="1:14" ht="13.2">
      <c r="A283" s="42">
        <v>45714</v>
      </c>
      <c r="B283" s="3">
        <v>24</v>
      </c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</row>
    <row r="284" spans="1:14" ht="13.2">
      <c r="A284" s="42">
        <v>45714</v>
      </c>
      <c r="B284" s="3">
        <v>10</v>
      </c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</row>
    <row r="285" spans="1:14" ht="13.2">
      <c r="A285" s="42">
        <v>45714</v>
      </c>
      <c r="B285" s="3">
        <v>15</v>
      </c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</row>
    <row r="286" spans="1:14" ht="13.2">
      <c r="A286" s="42">
        <v>45714</v>
      </c>
      <c r="B286" s="3">
        <v>2</v>
      </c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</row>
    <row r="287" spans="1:14" ht="13.2">
      <c r="A287" s="42">
        <v>45714</v>
      </c>
      <c r="B287" s="3">
        <v>40.1</v>
      </c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</row>
    <row r="288" spans="1:14" ht="13.2">
      <c r="A288" s="42">
        <v>45714</v>
      </c>
      <c r="B288" s="3">
        <v>11.1</v>
      </c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</row>
    <row r="289" spans="1:14" ht="13.2">
      <c r="A289" s="42">
        <v>45715</v>
      </c>
      <c r="B289" s="3">
        <v>20.100000000000001</v>
      </c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</row>
    <row r="290" spans="1:14" ht="13.2">
      <c r="A290" s="42">
        <v>45715</v>
      </c>
      <c r="B290" s="3">
        <v>18</v>
      </c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</row>
    <row r="291" spans="1:14" ht="13.2">
      <c r="A291" s="42">
        <v>45715</v>
      </c>
      <c r="B291" s="3">
        <v>20.100000000000001</v>
      </c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</row>
    <row r="292" spans="1:14" ht="13.2">
      <c r="A292" s="42">
        <v>45715</v>
      </c>
      <c r="B292" s="3">
        <v>18</v>
      </c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</row>
    <row r="293" spans="1:14" ht="13.2">
      <c r="A293" s="42">
        <v>45715</v>
      </c>
      <c r="B293" s="3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</row>
    <row r="294" spans="1:14" ht="13.2">
      <c r="A294" s="42">
        <v>45715</v>
      </c>
      <c r="B294" s="3">
        <v>22</v>
      </c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</row>
    <row r="295" spans="1:14" ht="13.2">
      <c r="A295" s="42">
        <v>45715</v>
      </c>
      <c r="B295" s="3">
        <v>14</v>
      </c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</row>
    <row r="296" spans="1:14" ht="13.2">
      <c r="A296" s="42">
        <v>45715</v>
      </c>
      <c r="B296" s="3">
        <v>16.5</v>
      </c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</row>
    <row r="297" spans="1:14" ht="13.2">
      <c r="A297" s="42">
        <v>45715</v>
      </c>
      <c r="B297" s="18">
        <v>16</v>
      </c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</row>
    <row r="298" spans="1:14" ht="13.2">
      <c r="A298" s="42">
        <v>45715</v>
      </c>
      <c r="B298" s="3">
        <v>15</v>
      </c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</row>
    <row r="299" spans="1:14" ht="13.2">
      <c r="A299" s="42">
        <v>45715</v>
      </c>
      <c r="B299" s="19">
        <v>25.6</v>
      </c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</row>
    <row r="300" spans="1:14" ht="13.2">
      <c r="A300" s="42">
        <v>45716</v>
      </c>
      <c r="B300" s="3">
        <v>7</v>
      </c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</row>
    <row r="301" spans="1:14" ht="13.2">
      <c r="A301" s="42">
        <v>45716</v>
      </c>
      <c r="B301" s="3">
        <v>22.5</v>
      </c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</row>
    <row r="302" spans="1:14" ht="13.2">
      <c r="A302" s="42">
        <v>45716</v>
      </c>
      <c r="B302" s="3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</row>
    <row r="303" spans="1:14" ht="13.2">
      <c r="A303" s="42">
        <v>45716</v>
      </c>
      <c r="B303" s="3">
        <v>18</v>
      </c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</row>
    <row r="304" spans="1:14" ht="13.2">
      <c r="A304" s="42">
        <v>45716</v>
      </c>
      <c r="B304" s="3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</row>
    <row r="305" spans="1:14" ht="13.2">
      <c r="A305" s="42">
        <v>45716</v>
      </c>
      <c r="B305" s="3">
        <v>13</v>
      </c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</row>
    <row r="306" spans="1:14" ht="13.2">
      <c r="A306" s="42">
        <v>45716</v>
      </c>
      <c r="B306" s="3">
        <v>30</v>
      </c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</row>
    <row r="307" spans="1:14" ht="13.2">
      <c r="A307" s="42">
        <v>45716</v>
      </c>
      <c r="B307" s="3">
        <v>22.8</v>
      </c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</row>
    <row r="308" spans="1:14" ht="13.2">
      <c r="A308" s="42">
        <v>45716</v>
      </c>
      <c r="B308" s="3">
        <v>20</v>
      </c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</row>
    <row r="309" spans="1:14" ht="13.2">
      <c r="A309" s="42">
        <v>45716</v>
      </c>
      <c r="B309" s="3">
        <v>15</v>
      </c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</row>
    <row r="310" spans="1:14" ht="13.2">
      <c r="A310" s="65">
        <v>45719</v>
      </c>
      <c r="B310" s="3">
        <v>16.5</v>
      </c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</row>
    <row r="311" spans="1:14" ht="13.2">
      <c r="A311" s="65">
        <v>45719</v>
      </c>
      <c r="B311" s="3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</row>
    <row r="312" spans="1:14" ht="13.2">
      <c r="A312" s="65">
        <v>45719</v>
      </c>
      <c r="B312" s="3">
        <v>60.2</v>
      </c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</row>
    <row r="313" spans="1:14" ht="13.2">
      <c r="A313" s="65">
        <v>45719</v>
      </c>
      <c r="B313" s="3">
        <v>9.5</v>
      </c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</row>
    <row r="314" spans="1:14" ht="13.2">
      <c r="A314" s="65">
        <v>45719</v>
      </c>
      <c r="B314" s="3">
        <v>9</v>
      </c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</row>
    <row r="315" spans="1:14" ht="13.2">
      <c r="A315" s="65">
        <v>45719</v>
      </c>
      <c r="B315" s="3">
        <v>30</v>
      </c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</row>
    <row r="316" spans="1:14" ht="13.2">
      <c r="A316" s="65">
        <v>45719</v>
      </c>
      <c r="B316" s="3">
        <v>11</v>
      </c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</row>
    <row r="317" spans="1:14" ht="13.2">
      <c r="A317" s="65">
        <v>45719</v>
      </c>
      <c r="B317" s="3">
        <v>16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</row>
    <row r="318" spans="1:14" ht="13.2">
      <c r="A318" s="65">
        <v>45719</v>
      </c>
      <c r="B318" s="3">
        <v>15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</row>
    <row r="319" spans="1:14" ht="13.2">
      <c r="A319" s="65">
        <v>45719</v>
      </c>
      <c r="B319" s="3">
        <v>10.6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</row>
    <row r="320" spans="1:14" ht="13.2">
      <c r="A320" s="65">
        <v>45719</v>
      </c>
      <c r="B320" s="3">
        <v>10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</row>
    <row r="321" spans="1:14" ht="13.2">
      <c r="A321" s="65">
        <v>45720</v>
      </c>
      <c r="B321" s="21">
        <v>17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</row>
    <row r="322" spans="1:14" ht="13.2">
      <c r="A322" s="65">
        <v>45720</v>
      </c>
      <c r="B322" s="21">
        <v>18</v>
      </c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</row>
    <row r="323" spans="1:14" ht="13.2">
      <c r="A323" s="65">
        <v>45720</v>
      </c>
      <c r="B323" s="3">
        <v>35</v>
      </c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</row>
    <row r="324" spans="1:14" ht="13.2">
      <c r="A324" s="65">
        <v>45720</v>
      </c>
      <c r="B324" s="3">
        <v>26</v>
      </c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</row>
    <row r="325" spans="1:14" ht="13.2">
      <c r="A325" s="65">
        <v>45720</v>
      </c>
      <c r="B325" s="3">
        <v>16.5</v>
      </c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</row>
    <row r="326" spans="1:14" ht="13.2">
      <c r="A326" s="65">
        <v>45720</v>
      </c>
      <c r="B326" s="3">
        <v>7.5</v>
      </c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</row>
    <row r="327" spans="1:14" ht="13.2">
      <c r="A327" s="65">
        <v>45720</v>
      </c>
      <c r="B327" s="3">
        <v>16</v>
      </c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</row>
    <row r="328" spans="1:14" ht="13.2">
      <c r="A328" s="65">
        <v>45720</v>
      </c>
      <c r="B328" s="3">
        <v>14</v>
      </c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</row>
    <row r="329" spans="1:14" ht="13.2">
      <c r="A329" s="65">
        <v>45720</v>
      </c>
      <c r="B329" s="3">
        <v>14.5</v>
      </c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</row>
    <row r="330" spans="1:14" ht="13.2">
      <c r="A330" s="65">
        <v>45721</v>
      </c>
      <c r="B330" s="3">
        <v>19</v>
      </c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</row>
    <row r="331" spans="1:14" ht="13.2">
      <c r="A331" s="65">
        <v>45721</v>
      </c>
      <c r="B331" s="3">
        <v>25</v>
      </c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</row>
    <row r="332" spans="1:14" ht="13.2">
      <c r="A332" s="65">
        <v>45721</v>
      </c>
      <c r="B332" s="3">
        <v>15.5</v>
      </c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</row>
    <row r="333" spans="1:14" ht="13.2">
      <c r="A333" s="65">
        <v>45721</v>
      </c>
      <c r="B333" s="3">
        <v>26.5</v>
      </c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</row>
    <row r="334" spans="1:14" ht="13.2">
      <c r="A334" s="65">
        <v>45722</v>
      </c>
      <c r="B334" s="3">
        <v>40.5</v>
      </c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</row>
    <row r="335" spans="1:14" ht="13.2">
      <c r="A335" s="65">
        <v>45722</v>
      </c>
      <c r="B335" s="3">
        <v>34.5</v>
      </c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</row>
    <row r="336" spans="1:14" ht="13.2">
      <c r="A336" s="65">
        <v>45722</v>
      </c>
      <c r="B336" s="3">
        <v>11.5</v>
      </c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</row>
    <row r="337" spans="1:14" ht="13.2">
      <c r="A337" s="65">
        <v>45722</v>
      </c>
      <c r="B337" s="3">
        <v>11.2</v>
      </c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</row>
    <row r="338" spans="1:14" ht="13.2">
      <c r="A338" s="65">
        <v>45722</v>
      </c>
      <c r="B338" s="3">
        <v>20</v>
      </c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</row>
    <row r="339" spans="1:14" ht="13.2">
      <c r="A339" s="65">
        <v>45722</v>
      </c>
      <c r="B339" s="3">
        <v>15</v>
      </c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</row>
    <row r="340" spans="1:14" ht="13.2">
      <c r="A340" s="65">
        <v>45722</v>
      </c>
      <c r="B340" s="3">
        <v>6.2</v>
      </c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</row>
    <row r="341" spans="1:14" ht="13.2">
      <c r="A341" s="65">
        <v>45722</v>
      </c>
      <c r="B341" s="3">
        <v>12</v>
      </c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</row>
    <row r="342" spans="1:14" ht="13.2">
      <c r="A342" s="65">
        <v>45723</v>
      </c>
      <c r="B342" s="3">
        <v>16</v>
      </c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</row>
    <row r="343" spans="1:14" ht="13.2">
      <c r="A343" s="65">
        <v>45723</v>
      </c>
      <c r="B343" s="3">
        <v>19</v>
      </c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</row>
    <row r="344" spans="1:14" ht="13.2">
      <c r="A344" s="65">
        <v>45723</v>
      </c>
      <c r="B344" s="3">
        <v>9</v>
      </c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</row>
    <row r="345" spans="1:14" ht="13.2">
      <c r="A345" s="65">
        <v>45723</v>
      </c>
      <c r="B345" s="3">
        <v>10</v>
      </c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</row>
    <row r="346" spans="1:14" ht="13.2">
      <c r="A346" s="65">
        <v>45723</v>
      </c>
      <c r="B346" s="3">
        <v>20</v>
      </c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</row>
    <row r="347" spans="1:14" ht="13.2">
      <c r="A347" s="65">
        <v>45723</v>
      </c>
      <c r="B347" s="3">
        <v>21</v>
      </c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</row>
    <row r="348" spans="1:14" ht="13.2">
      <c r="A348" s="65">
        <v>45723</v>
      </c>
      <c r="B348" s="3">
        <v>36</v>
      </c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</row>
    <row r="349" spans="1:14" ht="13.2">
      <c r="A349" s="65">
        <v>45723</v>
      </c>
      <c r="B349" s="3">
        <v>18</v>
      </c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</row>
    <row r="350" spans="1:14" ht="13.2">
      <c r="A350" s="65">
        <v>45723</v>
      </c>
      <c r="B350" s="3">
        <v>9</v>
      </c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</row>
    <row r="351" spans="1:14" ht="13.2">
      <c r="A351" s="65">
        <v>45723</v>
      </c>
      <c r="B351" s="3">
        <v>20</v>
      </c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</row>
    <row r="352" spans="1:14" ht="13.2">
      <c r="A352" s="65">
        <v>45723</v>
      </c>
      <c r="B352" s="3">
        <v>17</v>
      </c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</row>
    <row r="353" spans="1:14" ht="13.2">
      <c r="A353" s="65">
        <v>45723</v>
      </c>
      <c r="B353" s="3">
        <v>22.5</v>
      </c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</row>
    <row r="354" spans="1:14" ht="13.2">
      <c r="A354" s="65">
        <v>45723</v>
      </c>
      <c r="B354" s="3">
        <v>24</v>
      </c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</row>
    <row r="355" spans="1:14" ht="13.2">
      <c r="A355" s="65">
        <v>45723</v>
      </c>
      <c r="B355" s="19">
        <v>10</v>
      </c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</row>
    <row r="356" spans="1:14" ht="13.2">
      <c r="A356" s="65">
        <v>45724</v>
      </c>
      <c r="B356" s="3">
        <v>42.6</v>
      </c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</row>
    <row r="357" spans="1:14" ht="13.2">
      <c r="A357" s="65">
        <v>45724</v>
      </c>
      <c r="B357" s="3">
        <v>17</v>
      </c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</row>
    <row r="358" spans="1:14" ht="13.2">
      <c r="A358" s="65">
        <v>45724</v>
      </c>
      <c r="B358" s="3">
        <v>17</v>
      </c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</row>
    <row r="359" spans="1:14" ht="13.2">
      <c r="A359" s="65">
        <v>45724</v>
      </c>
      <c r="B359" s="3">
        <v>53.6</v>
      </c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</row>
    <row r="360" spans="1:14" ht="13.2">
      <c r="A360" s="65">
        <v>45724</v>
      </c>
      <c r="B360" s="10">
        <v>18.5</v>
      </c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</row>
    <row r="361" spans="1:14" ht="13.2">
      <c r="A361" s="65">
        <v>45724</v>
      </c>
      <c r="B361" s="10">
        <v>17</v>
      </c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</row>
    <row r="362" spans="1:14" ht="13.2">
      <c r="A362" s="42">
        <v>45726</v>
      </c>
      <c r="B362" s="10">
        <v>44</v>
      </c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</row>
    <row r="363" spans="1:14" ht="13.2">
      <c r="A363" s="42">
        <v>45726</v>
      </c>
      <c r="B363" s="10">
        <v>30</v>
      </c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</row>
    <row r="364" spans="1:14" ht="13.2">
      <c r="A364" s="42">
        <v>45727</v>
      </c>
      <c r="B364" s="10">
        <v>15.5</v>
      </c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</row>
    <row r="365" spans="1:14" ht="13.2">
      <c r="A365" s="42">
        <v>45727</v>
      </c>
      <c r="B365" s="10">
        <v>15</v>
      </c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</row>
    <row r="366" spans="1:14" ht="13.2">
      <c r="A366" s="42">
        <v>45727</v>
      </c>
      <c r="B366" s="10">
        <v>21.5</v>
      </c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</row>
    <row r="367" spans="1:14" ht="13.2">
      <c r="A367" s="42">
        <v>45727</v>
      </c>
      <c r="B367" s="10">
        <v>15.5</v>
      </c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</row>
    <row r="368" spans="1:14" ht="13.2">
      <c r="A368" s="42">
        <v>45727</v>
      </c>
      <c r="B368" s="10">
        <v>19.5</v>
      </c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</row>
    <row r="369" spans="1:14" ht="13.2">
      <c r="A369" s="42">
        <v>45727</v>
      </c>
      <c r="B369" s="10">
        <f>25.5+6.6</f>
        <v>32.1</v>
      </c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</row>
    <row r="370" spans="1:14" ht="13.2">
      <c r="A370" s="42">
        <v>45727</v>
      </c>
      <c r="B370" s="10">
        <v>13</v>
      </c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</row>
    <row r="371" spans="1:14" ht="13.2">
      <c r="A371" s="42">
        <v>45727</v>
      </c>
      <c r="B371" s="10">
        <v>38.1</v>
      </c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</row>
    <row r="372" spans="1:14" ht="13.2">
      <c r="A372" s="42">
        <v>45728</v>
      </c>
      <c r="B372" s="21">
        <v>25</v>
      </c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</row>
    <row r="373" spans="1:14" ht="13.2">
      <c r="A373" s="42">
        <v>45728</v>
      </c>
      <c r="B373" s="10">
        <v>16</v>
      </c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</row>
    <row r="374" spans="1:14" ht="13.2">
      <c r="A374" s="42">
        <v>45728</v>
      </c>
      <c r="B374" s="10">
        <v>6</v>
      </c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</row>
    <row r="375" spans="1:14" ht="13.2">
      <c r="A375" s="42">
        <v>45728</v>
      </c>
      <c r="B375" s="10">
        <v>12.5</v>
      </c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</row>
    <row r="376" spans="1:14" ht="13.2">
      <c r="A376" s="42">
        <v>45728</v>
      </c>
      <c r="B376" s="10">
        <v>19</v>
      </c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</row>
    <row r="377" spans="1:14" ht="13.2">
      <c r="A377" s="42">
        <v>45729</v>
      </c>
      <c r="B377" s="10">
        <v>31.6</v>
      </c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</row>
    <row r="378" spans="1:14" ht="13.2">
      <c r="A378" s="42">
        <v>45729</v>
      </c>
      <c r="B378" s="10">
        <v>18</v>
      </c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</row>
    <row r="379" spans="1:14" ht="13.2">
      <c r="A379" s="42">
        <v>45729</v>
      </c>
      <c r="B379" s="10">
        <v>11.5</v>
      </c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</row>
    <row r="380" spans="1:14" ht="13.2">
      <c r="A380" s="42">
        <v>45729</v>
      </c>
      <c r="B380" s="10">
        <v>24.6</v>
      </c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</row>
    <row r="381" spans="1:14" ht="13.2">
      <c r="A381" s="42">
        <v>45729</v>
      </c>
      <c r="B381" s="10">
        <v>28</v>
      </c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</row>
    <row r="382" spans="1:14" ht="13.2">
      <c r="A382" s="42">
        <v>45729</v>
      </c>
      <c r="B382" s="10">
        <v>19.5</v>
      </c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</row>
    <row r="383" spans="1:14" ht="13.2">
      <c r="A383" s="42">
        <v>45729</v>
      </c>
      <c r="B383" s="10">
        <v>22.5</v>
      </c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</row>
    <row r="384" spans="1:14" ht="13.2">
      <c r="A384" s="42">
        <v>45730</v>
      </c>
      <c r="B384" s="10">
        <v>20</v>
      </c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</row>
    <row r="385" spans="1:14" ht="13.2">
      <c r="A385" s="42">
        <v>45730</v>
      </c>
      <c r="B385" s="10">
        <v>27.5</v>
      </c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</row>
    <row r="386" spans="1:14" ht="13.2">
      <c r="A386" s="42">
        <v>45730</v>
      </c>
      <c r="B386" s="10">
        <v>10</v>
      </c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</row>
    <row r="387" spans="1:14" ht="13.2">
      <c r="A387" s="42">
        <v>45730</v>
      </c>
      <c r="B387" s="10">
        <v>20</v>
      </c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</row>
    <row r="388" spans="1:14" ht="13.2">
      <c r="A388" s="42">
        <v>45731</v>
      </c>
      <c r="B388" s="10">
        <v>9.5</v>
      </c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</row>
    <row r="389" spans="1:14" ht="13.2">
      <c r="A389" s="42">
        <v>45731</v>
      </c>
      <c r="B389" s="10">
        <v>10</v>
      </c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</row>
    <row r="390" spans="1:14" ht="13.2">
      <c r="A390" s="42">
        <v>45731</v>
      </c>
      <c r="B390" s="10">
        <v>13</v>
      </c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</row>
    <row r="391" spans="1:14" ht="13.2">
      <c r="A391" s="42">
        <v>45731</v>
      </c>
      <c r="B391" s="10">
        <v>11</v>
      </c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</row>
    <row r="392" spans="1:14" ht="13.2">
      <c r="A392" s="42">
        <v>45733</v>
      </c>
      <c r="B392" s="10">
        <v>22</v>
      </c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</row>
    <row r="393" spans="1:14" ht="13.2">
      <c r="A393" s="42">
        <v>45733</v>
      </c>
      <c r="B393" s="10">
        <v>20.5</v>
      </c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</row>
    <row r="394" spans="1:14" ht="13.2">
      <c r="A394" s="42">
        <v>45733</v>
      </c>
      <c r="B394" s="10">
        <v>16</v>
      </c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</row>
    <row r="395" spans="1:14" ht="13.2">
      <c r="A395" s="42">
        <v>45733</v>
      </c>
      <c r="B395" s="10">
        <v>21</v>
      </c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</row>
    <row r="396" spans="1:14" ht="13.2">
      <c r="A396" s="42">
        <v>45733</v>
      </c>
      <c r="B396" s="10">
        <v>15</v>
      </c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</row>
    <row r="397" spans="1:14" ht="13.2">
      <c r="A397" s="42">
        <v>45733</v>
      </c>
      <c r="B397" s="10">
        <v>12</v>
      </c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</row>
    <row r="398" spans="1:14" ht="13.2">
      <c r="A398" s="42">
        <v>45733</v>
      </c>
      <c r="B398" s="10">
        <v>20</v>
      </c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</row>
    <row r="399" spans="1:14" ht="13.2">
      <c r="A399" s="42">
        <v>45733</v>
      </c>
      <c r="B399" s="10">
        <v>17.5</v>
      </c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</row>
    <row r="400" spans="1:14" ht="13.2">
      <c r="A400" s="42">
        <v>45733</v>
      </c>
      <c r="B400" s="10">
        <v>12</v>
      </c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</row>
    <row r="401" spans="1:14" ht="13.2">
      <c r="A401" s="42">
        <v>45733</v>
      </c>
      <c r="B401" s="10">
        <v>23</v>
      </c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</row>
    <row r="402" spans="1:14" ht="13.2">
      <c r="A402" s="42">
        <v>45734</v>
      </c>
      <c r="B402" s="10">
        <v>20</v>
      </c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</row>
    <row r="403" spans="1:14" ht="13.2">
      <c r="A403" s="42">
        <v>45734</v>
      </c>
      <c r="B403" s="10">
        <v>30</v>
      </c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</row>
    <row r="404" spans="1:14" ht="13.2">
      <c r="A404" s="42">
        <v>45734</v>
      </c>
      <c r="B404" s="10">
        <v>8</v>
      </c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</row>
    <row r="405" spans="1:14" ht="13.2">
      <c r="A405" s="42">
        <v>45734</v>
      </c>
      <c r="B405" s="10">
        <v>8.5</v>
      </c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</row>
    <row r="406" spans="1:14" ht="13.2">
      <c r="A406" s="42">
        <v>45734</v>
      </c>
      <c r="B406" s="10">
        <v>8</v>
      </c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</row>
    <row r="407" spans="1:14" ht="13.2">
      <c r="A407" s="42">
        <v>45734</v>
      </c>
      <c r="B407" s="10">
        <v>12.5</v>
      </c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</row>
    <row r="408" spans="1:14" ht="13.2">
      <c r="A408" s="42">
        <v>45734</v>
      </c>
      <c r="B408" s="10">
        <v>46</v>
      </c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</row>
    <row r="409" spans="1:14" ht="13.2">
      <c r="A409" s="42">
        <v>45735</v>
      </c>
      <c r="B409" s="10">
        <v>11</v>
      </c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</row>
    <row r="410" spans="1:14" ht="13.2">
      <c r="A410" s="42">
        <v>45735</v>
      </c>
      <c r="B410" s="10">
        <v>21</v>
      </c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</row>
    <row r="411" spans="1:14" ht="13.2">
      <c r="A411" s="42">
        <v>45735</v>
      </c>
      <c r="B411" s="10">
        <v>20</v>
      </c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</row>
    <row r="412" spans="1:14" ht="13.2">
      <c r="A412" s="42">
        <v>45735</v>
      </c>
      <c r="B412" s="10">
        <v>30</v>
      </c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</row>
    <row r="413" spans="1:14" ht="13.2">
      <c r="A413" s="42">
        <v>45735</v>
      </c>
      <c r="B413" s="10">
        <v>18</v>
      </c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</row>
    <row r="414" spans="1:14" ht="13.2">
      <c r="A414" s="42">
        <v>45735</v>
      </c>
      <c r="B414" s="10">
        <v>14</v>
      </c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</row>
    <row r="415" spans="1:14" ht="13.2">
      <c r="A415" s="42">
        <v>45735</v>
      </c>
      <c r="B415" s="10">
        <v>15</v>
      </c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</row>
    <row r="416" spans="1:14" ht="13.2">
      <c r="A416" s="42">
        <v>45736</v>
      </c>
      <c r="B416" s="10">
        <v>21</v>
      </c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</row>
    <row r="417" spans="1:14" ht="13.2">
      <c r="A417" s="42">
        <v>45736</v>
      </c>
      <c r="B417" s="10">
        <v>30</v>
      </c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</row>
    <row r="418" spans="1:14" ht="13.2">
      <c r="A418" s="42">
        <v>45736</v>
      </c>
      <c r="B418" s="10">
        <v>22.5</v>
      </c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</row>
    <row r="419" spans="1:14" ht="13.2">
      <c r="A419" s="42">
        <v>45736</v>
      </c>
      <c r="B419" s="10">
        <v>20</v>
      </c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</row>
    <row r="420" spans="1:14" ht="13.2">
      <c r="A420" s="42">
        <v>45737</v>
      </c>
      <c r="B420" s="10">
        <v>10</v>
      </c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</row>
    <row r="421" spans="1:14" ht="13.2">
      <c r="A421" s="42">
        <v>45737</v>
      </c>
      <c r="B421" s="10">
        <v>10</v>
      </c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</row>
    <row r="422" spans="1:14" ht="13.2">
      <c r="A422" s="42">
        <v>45738</v>
      </c>
      <c r="B422" s="10">
        <v>10</v>
      </c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</row>
    <row r="423" spans="1:14" ht="13.2">
      <c r="A423" s="42">
        <v>45738</v>
      </c>
      <c r="B423" s="10">
        <v>10</v>
      </c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</row>
    <row r="424" spans="1:14" ht="13.2">
      <c r="A424" s="42">
        <v>45738</v>
      </c>
      <c r="B424" s="10">
        <v>18</v>
      </c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</row>
    <row r="425" spans="1:14" ht="13.2">
      <c r="A425" s="42">
        <v>45738</v>
      </c>
      <c r="B425" s="10">
        <v>25</v>
      </c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</row>
    <row r="426" spans="1:14" ht="13.2">
      <c r="A426" s="42">
        <v>45738</v>
      </c>
      <c r="B426" s="10">
        <v>18</v>
      </c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</row>
    <row r="427" spans="1:14" ht="13.2">
      <c r="A427" s="42">
        <v>45738</v>
      </c>
      <c r="B427" s="10">
        <v>21</v>
      </c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</row>
    <row r="428" spans="1:14" ht="13.2">
      <c r="A428" s="42">
        <v>45738</v>
      </c>
      <c r="B428" s="10">
        <v>10</v>
      </c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</row>
    <row r="429" spans="1:14" ht="13.2">
      <c r="A429" s="42">
        <v>45738</v>
      </c>
      <c r="B429" s="10">
        <v>10.5</v>
      </c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</row>
    <row r="430" spans="1:14" ht="13.2">
      <c r="A430" s="42">
        <v>45740</v>
      </c>
      <c r="B430" s="21">
        <v>20.5</v>
      </c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</row>
    <row r="431" spans="1:14" ht="13.2">
      <c r="A431" s="42">
        <v>45740</v>
      </c>
      <c r="B431" s="21">
        <v>31.5</v>
      </c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</row>
    <row r="432" spans="1:14" ht="13.2">
      <c r="A432" s="42">
        <v>45740</v>
      </c>
      <c r="B432" s="21">
        <v>16</v>
      </c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</row>
    <row r="433" spans="1:14" ht="13.2">
      <c r="A433" s="42">
        <v>45740</v>
      </c>
      <c r="B433" s="21">
        <v>23.5</v>
      </c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</row>
    <row r="434" spans="1:14" ht="13.2">
      <c r="A434" s="42">
        <v>45740</v>
      </c>
      <c r="B434" s="10">
        <v>20</v>
      </c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</row>
    <row r="435" spans="1:14" ht="13.2">
      <c r="A435" s="42">
        <v>45740</v>
      </c>
      <c r="B435" s="10">
        <v>18</v>
      </c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</row>
    <row r="436" spans="1:14" ht="13.2">
      <c r="A436" s="42">
        <v>45740</v>
      </c>
      <c r="B436" s="10">
        <v>16</v>
      </c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</row>
    <row r="437" spans="1:14" ht="13.2">
      <c r="A437" s="42">
        <v>45740</v>
      </c>
      <c r="B437" s="10">
        <v>32</v>
      </c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</row>
    <row r="438" spans="1:14" ht="13.2">
      <c r="A438" s="42">
        <v>45740</v>
      </c>
      <c r="B438" s="10">
        <v>10</v>
      </c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</row>
    <row r="439" spans="1:14" ht="13.2">
      <c r="A439" s="42">
        <v>45741</v>
      </c>
      <c r="B439" s="21">
        <v>7.4</v>
      </c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</row>
    <row r="440" spans="1:14" ht="13.2">
      <c r="A440" s="42">
        <v>45741</v>
      </c>
      <c r="B440" s="10">
        <v>27</v>
      </c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</row>
    <row r="441" spans="1:14" ht="13.2">
      <c r="A441" s="42">
        <v>45741</v>
      </c>
      <c r="B441" s="10">
        <v>14.5</v>
      </c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</row>
    <row r="442" spans="1:14" ht="13.2">
      <c r="A442" s="42">
        <v>45742</v>
      </c>
      <c r="B442" s="10">
        <v>23.5</v>
      </c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</row>
    <row r="443" spans="1:14" ht="13.2">
      <c r="A443" s="42">
        <v>45742</v>
      </c>
      <c r="B443" s="10">
        <v>28</v>
      </c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</row>
    <row r="444" spans="1:14" ht="13.2">
      <c r="A444" s="42">
        <v>45742</v>
      </c>
      <c r="B444" s="10">
        <v>30</v>
      </c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</row>
    <row r="445" spans="1:14" ht="13.2">
      <c r="A445" s="42">
        <v>45742</v>
      </c>
      <c r="B445" s="21">
        <v>27</v>
      </c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</row>
    <row r="446" spans="1:14" ht="13.2">
      <c r="A446" s="42">
        <v>45742</v>
      </c>
      <c r="B446" s="10">
        <v>30.5</v>
      </c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</row>
    <row r="447" spans="1:14" ht="13.2">
      <c r="A447" s="42">
        <v>45742</v>
      </c>
      <c r="B447" s="10">
        <v>30</v>
      </c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</row>
    <row r="448" spans="1:14" ht="13.2">
      <c r="A448" s="42">
        <v>45742</v>
      </c>
      <c r="B448" s="10">
        <v>17</v>
      </c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</row>
    <row r="449" spans="1:14" ht="13.2">
      <c r="A449" s="42">
        <v>45744</v>
      </c>
      <c r="B449" s="10">
        <v>12</v>
      </c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</row>
    <row r="450" spans="1:14" ht="13.2">
      <c r="A450" s="42">
        <v>45744</v>
      </c>
      <c r="B450" s="10">
        <v>22</v>
      </c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</row>
    <row r="451" spans="1:14" ht="13.2">
      <c r="A451" s="42">
        <v>45744</v>
      </c>
      <c r="B451" s="10">
        <v>10.5</v>
      </c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</row>
    <row r="452" spans="1:14" ht="13.2">
      <c r="A452" s="42">
        <v>45744</v>
      </c>
      <c r="B452" s="10">
        <v>17</v>
      </c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</row>
    <row r="453" spans="1:14" ht="13.2">
      <c r="A453" s="42">
        <v>45744</v>
      </c>
      <c r="B453" s="10">
        <v>27.5</v>
      </c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</row>
    <row r="454" spans="1:14" ht="13.2">
      <c r="A454" s="42">
        <v>45745</v>
      </c>
      <c r="B454" s="21">
        <v>7</v>
      </c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</row>
    <row r="455" spans="1:14" ht="13.2">
      <c r="A455" s="42">
        <v>45745</v>
      </c>
      <c r="B455" s="21">
        <v>13</v>
      </c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</row>
    <row r="456" spans="1:14" ht="13.2">
      <c r="A456" s="42">
        <v>45745</v>
      </c>
      <c r="B456" s="21">
        <v>25.3</v>
      </c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</row>
    <row r="457" spans="1:14" ht="13.2">
      <c r="A457" s="42">
        <v>45745</v>
      </c>
      <c r="B457" s="21">
        <v>10</v>
      </c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</row>
    <row r="458" spans="1:14" ht="13.2">
      <c r="A458" s="42">
        <v>45745</v>
      </c>
      <c r="B458" s="21">
        <v>26</v>
      </c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</row>
    <row r="459" spans="1:14" ht="13.2">
      <c r="A459" s="42">
        <v>45745</v>
      </c>
      <c r="B459" s="21">
        <v>22.5</v>
      </c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</row>
    <row r="460" spans="1:14" ht="13.2">
      <c r="A460" s="42">
        <v>45747</v>
      </c>
      <c r="B460" s="26">
        <v>12</v>
      </c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</row>
    <row r="461" spans="1:14" ht="13.2">
      <c r="A461" s="42">
        <v>45747</v>
      </c>
      <c r="B461" s="26">
        <v>56</v>
      </c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</row>
    <row r="462" spans="1:14" ht="13.2">
      <c r="A462" s="42">
        <v>45747</v>
      </c>
      <c r="B462" s="26">
        <v>58.5</v>
      </c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</row>
    <row r="463" spans="1:14" ht="13.2">
      <c r="A463" s="42">
        <v>45747</v>
      </c>
      <c r="B463" s="26">
        <v>9</v>
      </c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</row>
    <row r="464" spans="1:14" ht="13.2">
      <c r="A464" s="42">
        <v>45747</v>
      </c>
      <c r="B464" s="26">
        <v>9</v>
      </c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</row>
    <row r="465" spans="1:14" ht="13.2">
      <c r="A465" s="42">
        <v>45748</v>
      </c>
      <c r="B465" s="21">
        <v>29</v>
      </c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</row>
    <row r="466" spans="1:14" ht="13.2">
      <c r="A466" s="42">
        <v>45748</v>
      </c>
      <c r="B466" s="21">
        <v>20</v>
      </c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</row>
    <row r="467" spans="1:14" ht="13.2">
      <c r="A467" s="42">
        <v>45748</v>
      </c>
      <c r="B467" s="21">
        <v>26</v>
      </c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</row>
    <row r="468" spans="1:14" ht="13.2">
      <c r="A468" s="42">
        <v>45748</v>
      </c>
      <c r="B468" s="21">
        <v>14</v>
      </c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</row>
    <row r="469" spans="1:14" ht="13.2">
      <c r="A469" s="42">
        <v>45748</v>
      </c>
      <c r="B469" s="21">
        <v>23.5</v>
      </c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</row>
    <row r="470" spans="1:14" ht="13.2">
      <c r="A470" s="42">
        <v>45749</v>
      </c>
      <c r="B470" s="26">
        <v>39.1</v>
      </c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</row>
    <row r="471" spans="1:14" ht="13.2">
      <c r="A471" s="42">
        <v>45749</v>
      </c>
      <c r="B471" s="26">
        <v>28</v>
      </c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</row>
    <row r="472" spans="1:14" ht="13.2">
      <c r="A472" s="42">
        <v>45749</v>
      </c>
      <c r="B472" s="26">
        <v>15.5</v>
      </c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</row>
    <row r="473" spans="1:14" ht="13.2">
      <c r="A473" s="42">
        <v>45749</v>
      </c>
      <c r="B473" s="10">
        <v>25.5</v>
      </c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</row>
    <row r="474" spans="1:14" ht="13.2">
      <c r="A474" s="42">
        <v>45749</v>
      </c>
      <c r="B474" s="10">
        <v>20</v>
      </c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</row>
    <row r="475" spans="1:14" ht="13.2">
      <c r="A475" s="42">
        <v>45749</v>
      </c>
      <c r="B475" s="10">
        <v>10.4</v>
      </c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</row>
    <row r="476" spans="1:14" ht="13.2">
      <c r="A476" s="42">
        <v>45750</v>
      </c>
      <c r="B476" s="10">
        <v>14</v>
      </c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</row>
    <row r="477" spans="1:14" ht="13.2">
      <c r="A477" s="42">
        <v>45750</v>
      </c>
      <c r="B477" s="10">
        <v>26.5</v>
      </c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</row>
    <row r="478" spans="1:14" ht="13.2">
      <c r="A478" s="42">
        <v>45750</v>
      </c>
      <c r="B478" s="10">
        <v>22</v>
      </c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</row>
    <row r="479" spans="1:14" ht="13.2">
      <c r="A479" s="42">
        <v>45750</v>
      </c>
      <c r="B479" s="10">
        <v>7.2</v>
      </c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</row>
    <row r="480" spans="1:14" ht="13.2">
      <c r="A480" s="42">
        <v>45750</v>
      </c>
      <c r="B480" s="10">
        <v>12.5</v>
      </c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</row>
    <row r="481" spans="1:14" ht="13.2">
      <c r="A481" s="42">
        <v>45750</v>
      </c>
      <c r="B481" s="10">
        <v>10.5</v>
      </c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</row>
    <row r="482" spans="1:14" ht="13.2">
      <c r="A482" s="42">
        <v>45750</v>
      </c>
      <c r="B482" s="10">
        <v>20</v>
      </c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</row>
    <row r="483" spans="1:14" ht="13.2">
      <c r="A483" s="42">
        <v>45750</v>
      </c>
      <c r="B483" s="10">
        <v>25</v>
      </c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</row>
    <row r="484" spans="1:14" ht="13.2">
      <c r="A484" s="42">
        <v>45750</v>
      </c>
      <c r="B484" s="10">
        <v>20</v>
      </c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</row>
    <row r="485" spans="1:14" ht="13.2">
      <c r="A485" s="42">
        <v>45750</v>
      </c>
      <c r="B485" s="10">
        <v>14.5</v>
      </c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</row>
    <row r="486" spans="1:14" ht="13.2">
      <c r="A486" s="42">
        <v>45751</v>
      </c>
      <c r="B486" s="10">
        <v>13.5</v>
      </c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</row>
    <row r="487" spans="1:14" ht="13.2">
      <c r="A487" s="42">
        <v>45751</v>
      </c>
      <c r="B487" s="10">
        <v>18.5</v>
      </c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</row>
    <row r="488" spans="1:14" ht="13.2">
      <c r="A488" s="42">
        <v>45751</v>
      </c>
      <c r="B488" s="10">
        <v>25</v>
      </c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</row>
    <row r="489" spans="1:14" ht="13.2">
      <c r="A489" s="42">
        <v>45752</v>
      </c>
      <c r="B489" s="10">
        <v>13.5</v>
      </c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</row>
    <row r="490" spans="1:14" ht="13.2">
      <c r="A490" s="42">
        <v>45752</v>
      </c>
      <c r="B490" s="10">
        <v>6</v>
      </c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</row>
    <row r="491" spans="1:14" ht="13.2">
      <c r="A491" s="42">
        <v>45752</v>
      </c>
      <c r="B491" s="10">
        <v>9.5</v>
      </c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</row>
    <row r="492" spans="1:14" ht="13.2">
      <c r="A492" s="42">
        <v>45752</v>
      </c>
      <c r="B492" s="10">
        <v>14</v>
      </c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</row>
    <row r="493" spans="1:14" ht="13.2">
      <c r="A493" s="42">
        <v>45754</v>
      </c>
      <c r="B493" s="10">
        <v>49.5</v>
      </c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</row>
    <row r="494" spans="1:14" ht="13.2">
      <c r="A494" s="42">
        <v>45754</v>
      </c>
      <c r="B494" s="10">
        <v>64</v>
      </c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</row>
    <row r="495" spans="1:14" ht="13.2">
      <c r="A495" s="42">
        <v>45755</v>
      </c>
      <c r="B495" s="10">
        <v>30</v>
      </c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</row>
    <row r="496" spans="1:14" ht="13.2">
      <c r="A496" s="42">
        <v>45755</v>
      </c>
      <c r="B496" s="10">
        <v>25</v>
      </c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</row>
    <row r="497" spans="1:14" ht="13.2">
      <c r="A497" s="42">
        <v>45755</v>
      </c>
      <c r="B497" s="10">
        <v>18.100000000000001</v>
      </c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</row>
    <row r="498" spans="1:14" ht="13.2">
      <c r="A498" s="42">
        <v>45755</v>
      </c>
      <c r="B498" s="10">
        <v>7</v>
      </c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</row>
    <row r="499" spans="1:14" ht="13.2">
      <c r="A499" s="42">
        <v>45755</v>
      </c>
      <c r="B499" s="10">
        <v>12.5</v>
      </c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</row>
    <row r="500" spans="1:14" ht="13.2">
      <c r="A500" s="42">
        <v>45755</v>
      </c>
      <c r="B500" s="10">
        <v>16</v>
      </c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</row>
    <row r="501" spans="1:14" ht="13.2">
      <c r="A501" s="42">
        <v>45755</v>
      </c>
      <c r="B501" s="10">
        <v>21</v>
      </c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</row>
    <row r="502" spans="1:14" ht="13.2">
      <c r="A502" s="42">
        <v>45755</v>
      </c>
      <c r="B502" s="10">
        <v>13</v>
      </c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</row>
    <row r="503" spans="1:14" ht="13.2">
      <c r="A503" s="42">
        <v>45755</v>
      </c>
      <c r="B503" s="10">
        <v>12</v>
      </c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</row>
    <row r="504" spans="1:14" ht="13.2">
      <c r="A504" s="42">
        <v>45755</v>
      </c>
      <c r="B504" s="10">
        <v>4</v>
      </c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</row>
    <row r="505" spans="1:14" ht="13.2">
      <c r="A505" s="42">
        <v>45756</v>
      </c>
      <c r="B505" s="10">
        <v>50</v>
      </c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</row>
    <row r="506" spans="1:14" ht="13.2">
      <c r="A506" s="42">
        <v>45756</v>
      </c>
      <c r="B506" s="21">
        <v>47</v>
      </c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</row>
    <row r="507" spans="1:14" ht="13.2">
      <c r="A507" s="42">
        <v>45757</v>
      </c>
      <c r="B507" s="10">
        <v>30</v>
      </c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</row>
    <row r="508" spans="1:14" ht="13.2">
      <c r="A508" s="42">
        <v>45757</v>
      </c>
      <c r="B508" s="10">
        <v>16</v>
      </c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</row>
    <row r="509" spans="1:14" ht="13.2">
      <c r="A509" s="42">
        <v>45757</v>
      </c>
      <c r="B509" s="10">
        <v>10</v>
      </c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</row>
    <row r="510" spans="1:14" ht="13.2">
      <c r="A510" s="42">
        <v>45757</v>
      </c>
      <c r="B510" s="10">
        <v>10.8</v>
      </c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</row>
    <row r="511" spans="1:14" ht="13.2">
      <c r="A511" s="42">
        <v>45758</v>
      </c>
      <c r="B511" s="10">
        <v>12.5</v>
      </c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</row>
    <row r="512" spans="1:14" ht="13.2">
      <c r="A512" s="42">
        <v>45758</v>
      </c>
      <c r="B512" s="10">
        <v>15</v>
      </c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</row>
    <row r="513" spans="1:14" ht="13.2">
      <c r="A513" s="42">
        <v>45758</v>
      </c>
      <c r="B513" s="10">
        <v>15</v>
      </c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</row>
    <row r="514" spans="1:14" ht="13.2">
      <c r="A514" s="42">
        <v>45759</v>
      </c>
      <c r="B514" s="10">
        <v>41.6</v>
      </c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</row>
    <row r="515" spans="1:14" ht="13.2">
      <c r="A515" s="42">
        <v>45759</v>
      </c>
      <c r="B515" s="10">
        <v>25</v>
      </c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</row>
    <row r="516" spans="1:14" ht="13.2">
      <c r="A516" s="42">
        <v>45759</v>
      </c>
      <c r="B516" s="10">
        <v>14.5</v>
      </c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</row>
    <row r="517" spans="1:14" ht="13.2">
      <c r="A517" s="42">
        <v>45759</v>
      </c>
      <c r="B517" s="10">
        <v>13.5</v>
      </c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</row>
    <row r="518" spans="1:14" ht="13.2">
      <c r="A518" s="42">
        <v>45759</v>
      </c>
      <c r="B518" s="10">
        <v>24</v>
      </c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</row>
    <row r="519" spans="1:14" ht="13.2">
      <c r="A519" s="42">
        <v>45759</v>
      </c>
      <c r="B519" s="10">
        <v>36.6</v>
      </c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</row>
    <row r="520" spans="1:14" ht="13.2">
      <c r="A520" s="42">
        <v>45761</v>
      </c>
      <c r="B520" s="10">
        <v>28</v>
      </c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</row>
    <row r="521" spans="1:14" ht="13.2">
      <c r="A521" s="42">
        <v>45761</v>
      </c>
      <c r="B521" s="10">
        <v>20</v>
      </c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</row>
    <row r="522" spans="1:14" ht="13.2">
      <c r="A522" s="42">
        <v>45761</v>
      </c>
      <c r="B522" s="10">
        <v>6</v>
      </c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</row>
    <row r="523" spans="1:14" ht="13.2">
      <c r="A523" s="42">
        <v>45761</v>
      </c>
      <c r="B523" s="10">
        <v>16</v>
      </c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</row>
    <row r="524" spans="1:14" ht="13.2">
      <c r="A524" s="42">
        <v>45761</v>
      </c>
      <c r="B524" s="10">
        <v>20</v>
      </c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</row>
    <row r="525" spans="1:14" ht="13.2">
      <c r="A525" s="42">
        <v>45761</v>
      </c>
      <c r="B525" s="10">
        <v>10</v>
      </c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</row>
    <row r="526" spans="1:14" ht="13.2">
      <c r="A526" s="42">
        <v>45761</v>
      </c>
      <c r="B526" s="10">
        <v>7.9</v>
      </c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</row>
    <row r="527" spans="1:14" ht="13.2">
      <c r="A527" s="42">
        <v>45761</v>
      </c>
      <c r="B527" s="10">
        <v>8</v>
      </c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</row>
    <row r="528" spans="1:14" ht="13.2">
      <c r="A528" s="42">
        <v>45761</v>
      </c>
      <c r="B528" s="10">
        <v>8</v>
      </c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</row>
    <row r="529" spans="1:14" ht="13.2">
      <c r="A529" s="42">
        <v>45762</v>
      </c>
      <c r="B529" s="10">
        <v>14</v>
      </c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</row>
    <row r="530" spans="1:14" ht="13.2">
      <c r="A530" s="42">
        <v>45762</v>
      </c>
      <c r="B530" s="10">
        <v>12</v>
      </c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</row>
    <row r="531" spans="1:14" ht="13.2">
      <c r="A531" s="42">
        <v>45762</v>
      </c>
      <c r="B531" s="10">
        <v>6.5</v>
      </c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</row>
    <row r="532" spans="1:14" ht="13.2">
      <c r="A532" s="42">
        <v>45762</v>
      </c>
      <c r="B532" s="10">
        <v>5</v>
      </c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</row>
    <row r="533" spans="1:14" ht="13.2">
      <c r="A533" s="42">
        <v>45762</v>
      </c>
      <c r="B533" s="10">
        <v>8</v>
      </c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</row>
    <row r="534" spans="1:14" ht="13.2">
      <c r="A534" s="42">
        <v>45762</v>
      </c>
      <c r="B534" s="10">
        <v>5</v>
      </c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</row>
    <row r="535" spans="1:14" ht="12.75" customHeight="1">
      <c r="A535" s="42">
        <v>45762</v>
      </c>
      <c r="B535" s="10">
        <v>8</v>
      </c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</row>
    <row r="536" spans="1:14" ht="18.75" customHeight="1">
      <c r="A536" s="42">
        <v>45763</v>
      </c>
      <c r="B536" s="10">
        <v>47.5</v>
      </c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</row>
    <row r="537" spans="1:14" ht="18" customHeight="1">
      <c r="A537" s="42">
        <v>45763</v>
      </c>
      <c r="B537" s="10">
        <v>17</v>
      </c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</row>
    <row r="538" spans="1:14" ht="13.2">
      <c r="A538" s="42">
        <v>45763</v>
      </c>
      <c r="B538" s="10">
        <v>10</v>
      </c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</row>
    <row r="539" spans="1:14" ht="13.2">
      <c r="A539" s="42">
        <v>45763</v>
      </c>
      <c r="B539" s="10">
        <v>16.5</v>
      </c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</row>
    <row r="540" spans="1:14" ht="13.2">
      <c r="A540" s="42">
        <v>45763</v>
      </c>
      <c r="B540" s="10">
        <v>10</v>
      </c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</row>
    <row r="541" spans="1:14" ht="13.2">
      <c r="A541" s="42">
        <v>45763</v>
      </c>
      <c r="B541" s="10">
        <v>43.8</v>
      </c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</row>
    <row r="542" spans="1:14" ht="13.2">
      <c r="A542" s="42">
        <v>45766</v>
      </c>
      <c r="B542" s="10">
        <v>9</v>
      </c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</row>
    <row r="543" spans="1:14" ht="13.2">
      <c r="A543" s="42">
        <v>45766</v>
      </c>
      <c r="B543" s="10">
        <v>14.5</v>
      </c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</row>
    <row r="544" spans="1:14" ht="13.2">
      <c r="A544" s="42">
        <v>45766</v>
      </c>
      <c r="B544" s="10">
        <v>14</v>
      </c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</row>
    <row r="545" spans="1:14" ht="13.2">
      <c r="A545" s="42">
        <v>45766</v>
      </c>
      <c r="B545" s="10">
        <v>12</v>
      </c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</row>
    <row r="546" spans="1:14" ht="13.2">
      <c r="A546" s="42">
        <v>45769</v>
      </c>
      <c r="B546" s="10">
        <v>20</v>
      </c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</row>
    <row r="547" spans="1:14" ht="13.2">
      <c r="A547" s="42">
        <v>45769</v>
      </c>
      <c r="B547" s="10">
        <v>47.5</v>
      </c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</row>
    <row r="548" spans="1:14" ht="13.2">
      <c r="A548" s="42">
        <v>45769</v>
      </c>
      <c r="B548" s="10">
        <v>13</v>
      </c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</row>
    <row r="549" spans="1:14" ht="13.2">
      <c r="A549" s="42">
        <v>45769</v>
      </c>
      <c r="B549" s="10">
        <v>8</v>
      </c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</row>
    <row r="550" spans="1:14" ht="13.2">
      <c r="A550" s="42">
        <v>45769</v>
      </c>
      <c r="B550" s="10">
        <v>45.5</v>
      </c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</row>
    <row r="551" spans="1:14" ht="13.2">
      <c r="A551" s="42">
        <v>45770</v>
      </c>
      <c r="B551" s="10">
        <v>35</v>
      </c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</row>
    <row r="552" spans="1:14" ht="13.2">
      <c r="A552" s="42">
        <v>45770</v>
      </c>
      <c r="B552" s="10">
        <v>15.5</v>
      </c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</row>
    <row r="553" spans="1:14" ht="13.2">
      <c r="A553" s="42">
        <v>45770</v>
      </c>
      <c r="B553" s="10">
        <v>15.5</v>
      </c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</row>
    <row r="554" spans="1:14" ht="13.2">
      <c r="A554" s="42">
        <v>45770</v>
      </c>
      <c r="B554" s="10">
        <v>17</v>
      </c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</row>
    <row r="555" spans="1:14" ht="13.2">
      <c r="A555" s="42">
        <v>45771</v>
      </c>
      <c r="B555" s="10">
        <v>9</v>
      </c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</row>
    <row r="556" spans="1:14" ht="13.2">
      <c r="A556" s="42">
        <v>45771</v>
      </c>
      <c r="B556" s="10">
        <v>9.5</v>
      </c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</row>
    <row r="557" spans="1:14" ht="13.2">
      <c r="A557" s="42">
        <v>45771</v>
      </c>
      <c r="B557" s="10">
        <v>13</v>
      </c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</row>
    <row r="558" spans="1:14" ht="13.2">
      <c r="A558" s="42">
        <v>45771</v>
      </c>
      <c r="B558" s="10">
        <v>7</v>
      </c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</row>
    <row r="559" spans="1:14" ht="13.2">
      <c r="A559" s="42">
        <v>45772</v>
      </c>
      <c r="B559" s="10">
        <v>30</v>
      </c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</row>
    <row r="560" spans="1:14" ht="13.2">
      <c r="A560" s="42">
        <v>45772</v>
      </c>
      <c r="B560" s="10">
        <v>26.5</v>
      </c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</row>
    <row r="561" spans="1:14" ht="13.2">
      <c r="A561" s="42">
        <v>45772</v>
      </c>
      <c r="B561" s="10">
        <v>22.5</v>
      </c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</row>
    <row r="562" spans="1:14" ht="13.2">
      <c r="A562" s="42">
        <v>45772</v>
      </c>
      <c r="B562" s="10">
        <v>20</v>
      </c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</row>
    <row r="563" spans="1:14" ht="13.2">
      <c r="A563" s="42">
        <v>45772</v>
      </c>
      <c r="B563" s="10">
        <v>10</v>
      </c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</row>
    <row r="564" spans="1:14" ht="13.2">
      <c r="A564" s="42">
        <v>45772</v>
      </c>
      <c r="B564" s="10">
        <v>10</v>
      </c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</row>
    <row r="565" spans="1:14" ht="13.2">
      <c r="A565" s="42">
        <v>45772</v>
      </c>
      <c r="B565" s="10">
        <v>23</v>
      </c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</row>
    <row r="566" spans="1:14" ht="13.2">
      <c r="A566" s="42">
        <v>45773</v>
      </c>
      <c r="B566" s="10">
        <v>8.5</v>
      </c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</row>
    <row r="567" spans="1:14" ht="13.2">
      <c r="A567" s="42">
        <v>45773</v>
      </c>
      <c r="B567" s="10">
        <v>18</v>
      </c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</row>
    <row r="568" spans="1:14" ht="13.2">
      <c r="A568" s="42">
        <v>45773</v>
      </c>
      <c r="B568" s="10">
        <v>17.5</v>
      </c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</row>
    <row r="569" spans="1:14" ht="13.2">
      <c r="A569" s="42">
        <v>45773</v>
      </c>
      <c r="B569" s="10">
        <v>6</v>
      </c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</row>
    <row r="570" spans="1:14" ht="13.2">
      <c r="A570" s="42">
        <v>45773</v>
      </c>
      <c r="B570" s="10">
        <v>13</v>
      </c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</row>
    <row r="571" spans="1:14" ht="13.2">
      <c r="A571" s="42">
        <v>45773</v>
      </c>
      <c r="B571" s="21">
        <v>21</v>
      </c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</row>
    <row r="572" spans="1:14" ht="13.2">
      <c r="A572" s="42">
        <v>45775</v>
      </c>
      <c r="B572" s="10">
        <v>14</v>
      </c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</row>
    <row r="573" spans="1:14" ht="13.2">
      <c r="A573" s="42">
        <v>45775</v>
      </c>
      <c r="B573" s="10">
        <v>12.5</v>
      </c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</row>
    <row r="574" spans="1:14" ht="13.2">
      <c r="A574" s="42">
        <v>45775</v>
      </c>
      <c r="B574" s="10">
        <v>15.5</v>
      </c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</row>
    <row r="575" spans="1:14" ht="13.2">
      <c r="A575" s="42">
        <v>45775</v>
      </c>
      <c r="B575" s="10">
        <v>15</v>
      </c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</row>
    <row r="576" spans="1:14" ht="13.2">
      <c r="A576" s="42">
        <v>45776</v>
      </c>
      <c r="B576" s="10">
        <v>10</v>
      </c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</row>
    <row r="577" spans="1:14" ht="13.2">
      <c r="A577" s="42">
        <v>45776</v>
      </c>
      <c r="B577" s="10">
        <v>9</v>
      </c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</row>
    <row r="578" spans="1:14" ht="13.2">
      <c r="A578" s="42">
        <v>45777</v>
      </c>
      <c r="B578" s="10">
        <v>10</v>
      </c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</row>
    <row r="579" spans="1:14" ht="13.2">
      <c r="A579" s="42">
        <v>45777</v>
      </c>
      <c r="B579" s="10">
        <v>6.2</v>
      </c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</row>
    <row r="580" spans="1:14" ht="13.2">
      <c r="A580" s="42">
        <v>45779</v>
      </c>
      <c r="B580" s="10">
        <v>10.4</v>
      </c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</row>
    <row r="581" spans="1:14" ht="13.2">
      <c r="A581" s="42">
        <v>45779</v>
      </c>
      <c r="B581" s="10">
        <v>18</v>
      </c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</row>
    <row r="582" spans="1:14" ht="13.2">
      <c r="A582" s="42">
        <v>45779</v>
      </c>
      <c r="B582" s="10">
        <v>19</v>
      </c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</row>
    <row r="583" spans="1:14" ht="13.2">
      <c r="A583" s="42">
        <v>45780</v>
      </c>
      <c r="B583" s="10">
        <v>10</v>
      </c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</row>
    <row r="584" spans="1:14" ht="13.2">
      <c r="A584" s="42">
        <v>45780</v>
      </c>
      <c r="B584" s="10">
        <v>10</v>
      </c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</row>
    <row r="585" spans="1:14" ht="13.2">
      <c r="A585" s="42">
        <v>45780</v>
      </c>
      <c r="B585" s="10">
        <v>10</v>
      </c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</row>
    <row r="586" spans="1:14" ht="13.2">
      <c r="A586" s="42">
        <v>45780</v>
      </c>
      <c r="B586" s="10">
        <v>8</v>
      </c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</row>
    <row r="587" spans="1:14" ht="13.2">
      <c r="A587" s="42">
        <v>45780</v>
      </c>
      <c r="B587" s="10">
        <v>24</v>
      </c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</row>
    <row r="588" spans="1:14" ht="13.2">
      <c r="A588" s="42">
        <v>45780</v>
      </c>
      <c r="B588" s="10">
        <v>10</v>
      </c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</row>
    <row r="589" spans="1:14" ht="13.2">
      <c r="A589" s="42">
        <v>45783</v>
      </c>
      <c r="B589" s="10">
        <v>14.5</v>
      </c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</row>
    <row r="590" spans="1:14" ht="13.2">
      <c r="A590" s="42">
        <v>45783</v>
      </c>
      <c r="B590" s="10">
        <v>13.5</v>
      </c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</row>
    <row r="591" spans="1:14" ht="13.2">
      <c r="A591" s="42">
        <v>45783</v>
      </c>
      <c r="B591" s="10">
        <v>20.5</v>
      </c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</row>
    <row r="592" spans="1:14" ht="13.2">
      <c r="A592" s="42">
        <v>45783</v>
      </c>
      <c r="B592" s="10">
        <v>10</v>
      </c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</row>
    <row r="593" spans="1:14" ht="13.2">
      <c r="A593" s="42">
        <v>45783</v>
      </c>
      <c r="B593" s="10">
        <v>8</v>
      </c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</row>
    <row r="594" spans="1:14" ht="13.2">
      <c r="A594" s="42">
        <v>45784</v>
      </c>
      <c r="B594" s="10">
        <v>22</v>
      </c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</row>
    <row r="595" spans="1:14" ht="13.2">
      <c r="A595" s="42">
        <v>45784</v>
      </c>
      <c r="B595" s="10">
        <v>20</v>
      </c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</row>
    <row r="596" spans="1:14" ht="13.2">
      <c r="A596" s="42">
        <v>45784</v>
      </c>
      <c r="B596" s="10">
        <v>15.5</v>
      </c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</row>
    <row r="597" spans="1:14" ht="13.2">
      <c r="A597" s="42">
        <v>45784</v>
      </c>
      <c r="B597" s="10">
        <v>20</v>
      </c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</row>
    <row r="598" spans="1:14" ht="13.2">
      <c r="A598" s="42">
        <v>45784</v>
      </c>
      <c r="B598" s="10">
        <v>17</v>
      </c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</row>
    <row r="599" spans="1:14" ht="13.2">
      <c r="A599" s="42">
        <v>45784</v>
      </c>
      <c r="B599" s="10">
        <v>20</v>
      </c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</row>
    <row r="600" spans="1:14" ht="13.2">
      <c r="A600" s="42">
        <v>45785</v>
      </c>
      <c r="B600" s="10">
        <v>41.6</v>
      </c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</row>
    <row r="601" spans="1:14" ht="13.2">
      <c r="A601" s="42">
        <v>45785</v>
      </c>
      <c r="B601" s="10">
        <v>22.5</v>
      </c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</row>
    <row r="602" spans="1:14" ht="13.2">
      <c r="A602" s="42">
        <v>45785</v>
      </c>
      <c r="B602" s="10">
        <v>18</v>
      </c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</row>
    <row r="603" spans="1:14" ht="13.2">
      <c r="A603" s="42">
        <v>45785</v>
      </c>
      <c r="B603" s="10">
        <v>36.6</v>
      </c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</row>
    <row r="604" spans="1:14" ht="13.2">
      <c r="A604" s="42">
        <v>45785</v>
      </c>
      <c r="B604" s="10">
        <v>17</v>
      </c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</row>
    <row r="605" spans="1:14" ht="13.2">
      <c r="A605" s="42">
        <v>45785</v>
      </c>
      <c r="B605" s="10">
        <v>15</v>
      </c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</row>
    <row r="606" spans="1:14" ht="13.2">
      <c r="A606" s="42">
        <v>45785</v>
      </c>
      <c r="B606" s="10">
        <v>18</v>
      </c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</row>
    <row r="607" spans="1:14" ht="13.2">
      <c r="A607" s="42">
        <v>45786</v>
      </c>
      <c r="B607" s="10">
        <v>16</v>
      </c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</row>
    <row r="608" spans="1:14" ht="13.2">
      <c r="A608" s="42">
        <v>45786</v>
      </c>
      <c r="B608" s="10">
        <v>6</v>
      </c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</row>
    <row r="609" spans="1:14" ht="13.2">
      <c r="A609" s="42">
        <v>45786</v>
      </c>
      <c r="B609" s="10">
        <v>11.5</v>
      </c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</row>
    <row r="610" spans="1:14" ht="13.2">
      <c r="A610" s="42">
        <v>45786</v>
      </c>
      <c r="B610" s="10">
        <v>6.5</v>
      </c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</row>
    <row r="611" spans="1:14" ht="13.2">
      <c r="A611" s="42">
        <v>45786</v>
      </c>
      <c r="B611" s="10">
        <v>8</v>
      </c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</row>
    <row r="612" spans="1:14" ht="13.2">
      <c r="A612" s="42">
        <v>45786</v>
      </c>
      <c r="B612" s="10">
        <v>24</v>
      </c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</row>
    <row r="613" spans="1:14" ht="13.2">
      <c r="A613" s="42">
        <v>45786</v>
      </c>
      <c r="B613" s="10">
        <v>16</v>
      </c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</row>
    <row r="614" spans="1:14" ht="13.2">
      <c r="A614" s="42">
        <v>45787</v>
      </c>
      <c r="B614" s="10">
        <v>29</v>
      </c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</row>
    <row r="615" spans="1:14" ht="13.2">
      <c r="A615" s="42">
        <v>45787</v>
      </c>
      <c r="B615" s="10">
        <v>27</v>
      </c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</row>
    <row r="616" spans="1:14" ht="13.2">
      <c r="A616" s="42">
        <v>45789</v>
      </c>
      <c r="B616" s="10">
        <v>11.2</v>
      </c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</row>
    <row r="617" spans="1:14" ht="13.2">
      <c r="A617" s="42">
        <v>45789</v>
      </c>
      <c r="B617" s="10">
        <v>30</v>
      </c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</row>
    <row r="618" spans="1:14" ht="13.2">
      <c r="A618" s="42">
        <v>45789</v>
      </c>
      <c r="B618" s="10">
        <v>21</v>
      </c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</row>
    <row r="619" spans="1:14" ht="13.2">
      <c r="A619" s="42">
        <v>45790</v>
      </c>
      <c r="B619" s="10">
        <v>13</v>
      </c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</row>
    <row r="620" spans="1:14" ht="13.2">
      <c r="A620" s="42">
        <v>45790</v>
      </c>
      <c r="B620" s="10">
        <v>12</v>
      </c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</row>
    <row r="621" spans="1:14" ht="13.2">
      <c r="A621" s="42">
        <v>45790</v>
      </c>
      <c r="B621" s="10">
        <v>7</v>
      </c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</row>
    <row r="622" spans="1:14" ht="13.2">
      <c r="A622" s="42">
        <v>45790</v>
      </c>
      <c r="B622" s="10">
        <v>8</v>
      </c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</row>
    <row r="623" spans="1:14" ht="13.2">
      <c r="A623" s="42">
        <v>45791</v>
      </c>
      <c r="B623" s="10">
        <v>7</v>
      </c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</row>
    <row r="624" spans="1:14" ht="13.2">
      <c r="A624" s="42">
        <v>45793</v>
      </c>
      <c r="B624" s="10">
        <v>22</v>
      </c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</row>
    <row r="625" spans="1:14" ht="13.2">
      <c r="A625" s="42">
        <v>45793</v>
      </c>
      <c r="B625" s="10">
        <v>15.5</v>
      </c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</row>
    <row r="626" spans="1:14" ht="13.2">
      <c r="A626" s="42">
        <v>45793</v>
      </c>
      <c r="B626" s="10">
        <v>16</v>
      </c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</row>
    <row r="627" spans="1:14" ht="13.2">
      <c r="A627" s="42">
        <v>45793</v>
      </c>
      <c r="B627" s="10">
        <v>11</v>
      </c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</row>
    <row r="628" spans="1:14" ht="13.2">
      <c r="A628" s="42">
        <v>45793</v>
      </c>
      <c r="B628" s="10">
        <v>25</v>
      </c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</row>
    <row r="629" spans="1:14" ht="13.2">
      <c r="A629" s="42">
        <v>45793</v>
      </c>
      <c r="B629" s="10">
        <v>20</v>
      </c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</row>
    <row r="630" spans="1:14" ht="13.2">
      <c r="A630" s="42">
        <v>45793</v>
      </c>
      <c r="B630" s="10">
        <v>10</v>
      </c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</row>
    <row r="631" spans="1:14" ht="13.2">
      <c r="A631" s="42">
        <v>45794</v>
      </c>
      <c r="B631" s="10">
        <v>19.5</v>
      </c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</row>
    <row r="632" spans="1:14" ht="13.2">
      <c r="A632" s="42">
        <v>45794</v>
      </c>
      <c r="B632" s="10">
        <v>18</v>
      </c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</row>
    <row r="633" spans="1:14" ht="13.2">
      <c r="A633" s="42">
        <v>45796</v>
      </c>
      <c r="B633" s="10">
        <v>27.5</v>
      </c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</row>
    <row r="634" spans="1:14" ht="13.2">
      <c r="A634" s="42">
        <v>45796</v>
      </c>
      <c r="B634" s="10">
        <v>37</v>
      </c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</row>
    <row r="635" spans="1:14" ht="13.2">
      <c r="A635" s="42">
        <v>45796</v>
      </c>
      <c r="B635" s="10">
        <v>11.5</v>
      </c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</row>
    <row r="636" spans="1:14" ht="13.2">
      <c r="A636" s="42">
        <v>45796</v>
      </c>
      <c r="B636" s="10">
        <v>12</v>
      </c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</row>
    <row r="637" spans="1:14" ht="13.2">
      <c r="A637" s="42">
        <v>45796</v>
      </c>
      <c r="B637" s="10">
        <v>22</v>
      </c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</row>
    <row r="638" spans="1:14" ht="13.2">
      <c r="A638" s="42">
        <v>45796</v>
      </c>
      <c r="B638" s="10">
        <v>13.5</v>
      </c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</row>
    <row r="639" spans="1:14" ht="13.2">
      <c r="A639" s="42">
        <v>45796</v>
      </c>
      <c r="B639" s="10">
        <v>15</v>
      </c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</row>
    <row r="640" spans="1:14" ht="13.2">
      <c r="A640" s="42">
        <v>45797</v>
      </c>
      <c r="B640" s="10">
        <v>12</v>
      </c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</row>
    <row r="641" spans="1:14" ht="13.2">
      <c r="A641" s="42">
        <v>45797</v>
      </c>
      <c r="B641" s="10">
        <v>18</v>
      </c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</row>
    <row r="642" spans="1:14" ht="13.2">
      <c r="A642" s="42">
        <v>45797</v>
      </c>
      <c r="B642" s="10">
        <v>16.5</v>
      </c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</row>
    <row r="643" spans="1:14" ht="13.2">
      <c r="A643" s="42">
        <v>45797</v>
      </c>
      <c r="B643" s="10">
        <v>26</v>
      </c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</row>
    <row r="644" spans="1:14" ht="13.2">
      <c r="A644" s="42">
        <v>45797</v>
      </c>
      <c r="B644" s="10">
        <v>9</v>
      </c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</row>
    <row r="645" spans="1:14" ht="13.2">
      <c r="A645" s="42">
        <v>45797</v>
      </c>
      <c r="B645" s="10">
        <v>11</v>
      </c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</row>
    <row r="646" spans="1:14" ht="13.2">
      <c r="A646" s="42">
        <v>45797</v>
      </c>
      <c r="B646" s="10">
        <v>15.5</v>
      </c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</row>
    <row r="647" spans="1:14" ht="13.2">
      <c r="A647" s="42">
        <v>45797</v>
      </c>
      <c r="B647" s="10">
        <v>20.5</v>
      </c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</row>
    <row r="648" spans="1:14" ht="13.2">
      <c r="A648" s="42">
        <v>45797</v>
      </c>
      <c r="B648" s="10">
        <v>31.5</v>
      </c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</row>
    <row r="649" spans="1:14" ht="13.2">
      <c r="A649" s="42">
        <v>45798</v>
      </c>
      <c r="B649" s="10">
        <v>17</v>
      </c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</row>
    <row r="650" spans="1:14" ht="13.2">
      <c r="A650" s="42">
        <v>45798</v>
      </c>
      <c r="B650" s="10">
        <v>10</v>
      </c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</row>
    <row r="651" spans="1:14" ht="13.2">
      <c r="A651" s="42">
        <v>45798</v>
      </c>
      <c r="B651" s="10">
        <v>14</v>
      </c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</row>
    <row r="652" spans="1:14" ht="13.2">
      <c r="A652" s="42">
        <v>45798</v>
      </c>
      <c r="B652" s="10">
        <v>34</v>
      </c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</row>
    <row r="653" spans="1:14" ht="13.2">
      <c r="A653" s="42">
        <v>45798</v>
      </c>
      <c r="B653" s="10">
        <v>18</v>
      </c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</row>
    <row r="654" spans="1:14" ht="13.2">
      <c r="A654" s="42">
        <v>45798</v>
      </c>
      <c r="B654" s="21">
        <v>13</v>
      </c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</row>
    <row r="655" spans="1:14" ht="13.2">
      <c r="A655" s="42">
        <v>45799</v>
      </c>
      <c r="B655" s="10">
        <v>25.5</v>
      </c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</row>
    <row r="656" spans="1:14" ht="13.2">
      <c r="A656" s="42">
        <v>45799</v>
      </c>
      <c r="B656" s="10">
        <v>23.5</v>
      </c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</row>
    <row r="657" spans="1:14" ht="13.2">
      <c r="A657" s="42">
        <v>45799</v>
      </c>
      <c r="B657" s="10">
        <v>14</v>
      </c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</row>
    <row r="658" spans="1:14" ht="13.2">
      <c r="A658" s="42">
        <v>45799</v>
      </c>
      <c r="B658" s="10">
        <v>14</v>
      </c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</row>
    <row r="659" spans="1:14" ht="13.2">
      <c r="A659" s="42">
        <v>45799</v>
      </c>
      <c r="B659" s="10">
        <v>10</v>
      </c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</row>
    <row r="660" spans="1:14" ht="13.2">
      <c r="A660" s="42">
        <v>45799</v>
      </c>
      <c r="B660" s="10">
        <v>10</v>
      </c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</row>
    <row r="661" spans="1:14" ht="13.2">
      <c r="A661" s="42">
        <v>45799</v>
      </c>
      <c r="B661" s="10">
        <v>15</v>
      </c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</row>
    <row r="662" spans="1:14" ht="13.2">
      <c r="A662" s="42">
        <v>45800</v>
      </c>
      <c r="B662" s="10">
        <v>8.5</v>
      </c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</row>
    <row r="663" spans="1:14" ht="13.2">
      <c r="A663" s="42">
        <v>45800</v>
      </c>
      <c r="B663" s="10">
        <v>5</v>
      </c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</row>
    <row r="664" spans="1:14" ht="13.2">
      <c r="A664" s="42">
        <v>45800</v>
      </c>
      <c r="B664" s="10">
        <v>14</v>
      </c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</row>
    <row r="665" spans="1:14" ht="13.2">
      <c r="A665" s="42">
        <v>45800</v>
      </c>
      <c r="B665" s="10">
        <v>20</v>
      </c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</row>
    <row r="666" spans="1:14" ht="13.2">
      <c r="A666" s="42">
        <v>45800</v>
      </c>
      <c r="B666" s="10">
        <v>19.5</v>
      </c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</row>
    <row r="667" spans="1:14" ht="13.2">
      <c r="A667" s="42">
        <v>45800</v>
      </c>
      <c r="B667" s="10">
        <v>17</v>
      </c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</row>
    <row r="668" spans="1:14" ht="13.2">
      <c r="A668" s="42">
        <v>45800</v>
      </c>
      <c r="B668" s="10">
        <v>15</v>
      </c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</row>
    <row r="669" spans="1:14" ht="13.2">
      <c r="A669" s="42">
        <v>45803</v>
      </c>
      <c r="B669" s="10">
        <v>18.5</v>
      </c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</row>
    <row r="670" spans="1:14" ht="13.2">
      <c r="A670" s="42">
        <v>45803</v>
      </c>
      <c r="B670" s="10">
        <v>11</v>
      </c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</row>
    <row r="671" spans="1:14" ht="13.2">
      <c r="A671" s="42">
        <v>45803</v>
      </c>
      <c r="B671" s="10">
        <v>12</v>
      </c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</row>
    <row r="672" spans="1:14" ht="13.2">
      <c r="A672" s="42">
        <v>45803</v>
      </c>
      <c r="B672" s="10">
        <v>16</v>
      </c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</row>
    <row r="673" spans="1:14" ht="13.2">
      <c r="A673" s="42">
        <v>45804</v>
      </c>
      <c r="B673" s="2">
        <v>17</v>
      </c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</row>
    <row r="674" spans="1:14" ht="13.2">
      <c r="A674" s="42">
        <v>45804</v>
      </c>
      <c r="B674" s="10">
        <v>12</v>
      </c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</row>
    <row r="675" spans="1:14" ht="13.2">
      <c r="A675" s="42">
        <v>45804</v>
      </c>
      <c r="B675" s="10">
        <v>28.5</v>
      </c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</row>
    <row r="676" spans="1:14" ht="13.2">
      <c r="A676" s="42">
        <v>45804</v>
      </c>
      <c r="B676" s="10">
        <v>20.5</v>
      </c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</row>
    <row r="677" spans="1:14" ht="13.2">
      <c r="A677" s="42">
        <v>45804</v>
      </c>
      <c r="B677" s="10">
        <v>14</v>
      </c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</row>
    <row r="678" spans="1:14" ht="13.2">
      <c r="A678" s="42">
        <v>45804</v>
      </c>
      <c r="B678" s="10">
        <v>14.5</v>
      </c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</row>
    <row r="679" spans="1:14" ht="13.2">
      <c r="A679" s="42">
        <v>45804</v>
      </c>
      <c r="B679" s="10">
        <v>8.5</v>
      </c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</row>
    <row r="680" spans="1:14" ht="13.2">
      <c r="A680" s="42">
        <v>45804</v>
      </c>
      <c r="B680" s="10">
        <v>18</v>
      </c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</row>
    <row r="681" spans="1:14" ht="13.2">
      <c r="A681" s="42">
        <v>45804</v>
      </c>
      <c r="B681" s="10">
        <v>10</v>
      </c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</row>
    <row r="682" spans="1:14" ht="13.2">
      <c r="A682" s="42">
        <v>45804</v>
      </c>
      <c r="B682" s="10">
        <v>20.5</v>
      </c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</row>
    <row r="683" spans="1:14" ht="13.2">
      <c r="A683" s="42">
        <v>45804</v>
      </c>
      <c r="B683" s="10">
        <v>16.5</v>
      </c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</row>
    <row r="684" spans="1:14" ht="13.2">
      <c r="A684" s="42">
        <v>45805</v>
      </c>
      <c r="B684" s="10">
        <v>18.5</v>
      </c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</row>
    <row r="685" spans="1:14" ht="13.2">
      <c r="A685" s="42">
        <v>45805</v>
      </c>
      <c r="B685" s="10">
        <v>19</v>
      </c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</row>
    <row r="686" spans="1:14" ht="13.2">
      <c r="A686" s="42">
        <v>45805</v>
      </c>
      <c r="B686" s="10">
        <v>10</v>
      </c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</row>
    <row r="687" spans="1:14" ht="13.2">
      <c r="A687" s="42">
        <v>45805</v>
      </c>
      <c r="B687" s="10">
        <v>14.5</v>
      </c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</row>
    <row r="688" spans="1:14" ht="13.2">
      <c r="A688" s="42">
        <v>45805</v>
      </c>
      <c r="B688" s="10">
        <v>35.299999999999997</v>
      </c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</row>
    <row r="689" spans="1:14" ht="13.2">
      <c r="A689" s="42">
        <v>45805</v>
      </c>
      <c r="B689" s="10">
        <v>19</v>
      </c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</row>
    <row r="690" spans="1:14" ht="13.2">
      <c r="A690" s="42">
        <v>45806</v>
      </c>
      <c r="B690" s="10">
        <v>24.5</v>
      </c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</row>
    <row r="691" spans="1:14" ht="13.2">
      <c r="A691" s="42">
        <v>45806</v>
      </c>
      <c r="B691" s="10">
        <v>19</v>
      </c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</row>
    <row r="692" spans="1:14" ht="13.2">
      <c r="A692" s="42">
        <v>45806</v>
      </c>
      <c r="B692" s="10">
        <v>21</v>
      </c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</row>
    <row r="693" spans="1:14" ht="13.2">
      <c r="A693" s="42">
        <v>45806</v>
      </c>
      <c r="B693" s="10">
        <v>26.5</v>
      </c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</row>
    <row r="694" spans="1:14" ht="13.2">
      <c r="A694" s="42">
        <v>45806</v>
      </c>
      <c r="B694" s="21">
        <v>22</v>
      </c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</row>
    <row r="695" spans="1:14" ht="13.2">
      <c r="A695" s="42">
        <v>45806</v>
      </c>
      <c r="B695" s="21">
        <v>17</v>
      </c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</row>
    <row r="696" spans="1:14" ht="13.2">
      <c r="A696" s="42">
        <v>45806</v>
      </c>
      <c r="B696" s="21">
        <v>31.6</v>
      </c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</row>
    <row r="697" spans="1:14" ht="13.2">
      <c r="A697" s="42">
        <v>45807</v>
      </c>
      <c r="B697" s="10">
        <v>10.5</v>
      </c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</row>
    <row r="698" spans="1:14" ht="13.2">
      <c r="A698" s="42">
        <v>45807</v>
      </c>
      <c r="B698" s="10">
        <v>10</v>
      </c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</row>
    <row r="699" spans="1:14" ht="13.2">
      <c r="A699" s="42">
        <v>45807</v>
      </c>
      <c r="B699" s="10">
        <v>5</v>
      </c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</row>
    <row r="700" spans="1:14" ht="13.2">
      <c r="A700" s="42">
        <v>45807</v>
      </c>
      <c r="B700" s="10">
        <v>16</v>
      </c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</row>
    <row r="701" spans="1:14" ht="13.2">
      <c r="A701" s="42">
        <v>45807</v>
      </c>
      <c r="B701" s="10">
        <v>9</v>
      </c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</row>
    <row r="702" spans="1:14" ht="13.2">
      <c r="A702" s="42">
        <v>45807</v>
      </c>
      <c r="B702" s="10">
        <v>20.5</v>
      </c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</row>
    <row r="703" spans="1:14" ht="13.2">
      <c r="A703" s="42">
        <v>45808</v>
      </c>
      <c r="B703" s="21">
        <v>54.6</v>
      </c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</row>
    <row r="704" spans="1:14" ht="13.2">
      <c r="A704" s="42">
        <v>45808</v>
      </c>
      <c r="B704" s="21">
        <v>55.6</v>
      </c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</row>
    <row r="705" spans="1:14" ht="13.2">
      <c r="A705" s="42">
        <v>45810</v>
      </c>
      <c r="B705" s="21">
        <v>44</v>
      </c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</row>
    <row r="706" spans="1:14" ht="13.2">
      <c r="A706" s="42">
        <v>45810</v>
      </c>
      <c r="B706" s="21">
        <v>15</v>
      </c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</row>
    <row r="707" spans="1:14" ht="13.2">
      <c r="A707" s="42">
        <v>45810</v>
      </c>
      <c r="B707" s="21">
        <v>18</v>
      </c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</row>
    <row r="708" spans="1:14" ht="13.2">
      <c r="A708" s="42">
        <v>45810</v>
      </c>
      <c r="B708" s="21">
        <v>12</v>
      </c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</row>
    <row r="709" spans="1:14" ht="13.2">
      <c r="A709" s="42">
        <v>45810</v>
      </c>
      <c r="B709" s="10">
        <v>14</v>
      </c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</row>
    <row r="710" spans="1:14" ht="13.2">
      <c r="A710" s="42">
        <v>45810</v>
      </c>
      <c r="B710" s="10">
        <v>44</v>
      </c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</row>
    <row r="711" spans="1:14" ht="13.2">
      <c r="A711" s="42">
        <v>45811</v>
      </c>
      <c r="B711" s="10">
        <v>35</v>
      </c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</row>
    <row r="712" spans="1:14" ht="13.2">
      <c r="A712" s="42">
        <v>45811</v>
      </c>
      <c r="B712" s="10">
        <v>27</v>
      </c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</row>
    <row r="713" spans="1:14" ht="13.2">
      <c r="A713" s="42">
        <v>45811</v>
      </c>
      <c r="B713" s="10">
        <v>12</v>
      </c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</row>
    <row r="714" spans="1:14" ht="13.2">
      <c r="A714" s="42">
        <v>45812</v>
      </c>
      <c r="B714" s="10">
        <v>20</v>
      </c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</row>
    <row r="715" spans="1:14" ht="13.2">
      <c r="A715" s="42">
        <v>45812</v>
      </c>
      <c r="B715" s="10">
        <v>24</v>
      </c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</row>
    <row r="716" spans="1:14" ht="13.2">
      <c r="A716" s="42">
        <v>45812</v>
      </c>
      <c r="B716" s="10">
        <v>12.5</v>
      </c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</row>
    <row r="717" spans="1:14" ht="13.2">
      <c r="A717" s="42">
        <v>45812</v>
      </c>
      <c r="B717" s="10">
        <v>25</v>
      </c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</row>
    <row r="718" spans="1:14" ht="13.2">
      <c r="A718" s="42">
        <v>45812</v>
      </c>
      <c r="B718" s="10">
        <v>17</v>
      </c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</row>
    <row r="719" spans="1:14" ht="13.2">
      <c r="A719" s="230">
        <v>45812</v>
      </c>
      <c r="B719" s="11">
        <v>15</v>
      </c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</row>
    <row r="720" spans="1:14" ht="13.2">
      <c r="A720" s="42">
        <v>45813</v>
      </c>
      <c r="B720" s="21">
        <v>18</v>
      </c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</row>
    <row r="721" spans="1:14" ht="13.2">
      <c r="A721" s="42">
        <v>45813</v>
      </c>
      <c r="B721" s="21">
        <v>5.5</v>
      </c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</row>
    <row r="722" spans="1:14" ht="13.2">
      <c r="A722" s="42">
        <v>45813</v>
      </c>
      <c r="B722" s="10">
        <v>23.5</v>
      </c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</row>
    <row r="723" spans="1:14" ht="13.2">
      <c r="A723" s="42">
        <v>45814</v>
      </c>
      <c r="B723" s="10">
        <v>25</v>
      </c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</row>
    <row r="724" spans="1:14" ht="13.2">
      <c r="A724" s="42">
        <v>45814</v>
      </c>
      <c r="B724" s="10">
        <v>29.7</v>
      </c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</row>
    <row r="725" spans="1:14" ht="13.2">
      <c r="A725" s="42">
        <v>45814</v>
      </c>
      <c r="B725" s="10">
        <v>15</v>
      </c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</row>
    <row r="726" spans="1:14" ht="13.2">
      <c r="A726" s="42">
        <v>45814</v>
      </c>
      <c r="B726" s="10">
        <v>15</v>
      </c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</row>
    <row r="727" spans="1:14" ht="13.2">
      <c r="A727" s="42">
        <v>45814</v>
      </c>
      <c r="B727" s="10">
        <v>17.5</v>
      </c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</row>
    <row r="728" spans="1:14" ht="13.2">
      <c r="A728" s="42">
        <v>45814</v>
      </c>
      <c r="B728" s="10">
        <v>25</v>
      </c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</row>
    <row r="729" spans="1:14" ht="13.2">
      <c r="A729" s="42">
        <v>45814</v>
      </c>
      <c r="B729" s="10">
        <v>18.2</v>
      </c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</row>
    <row r="730" spans="1:14" ht="13.2">
      <c r="A730" s="42">
        <v>45814</v>
      </c>
      <c r="B730" s="10">
        <v>14</v>
      </c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</row>
    <row r="731" spans="1:14" ht="13.2">
      <c r="A731" s="42">
        <v>45817</v>
      </c>
      <c r="B731" s="10">
        <v>14.5</v>
      </c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</row>
    <row r="732" spans="1:14" ht="13.2">
      <c r="A732" s="42">
        <v>45817</v>
      </c>
      <c r="B732" s="10">
        <v>24</v>
      </c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</row>
    <row r="733" spans="1:14" ht="13.2">
      <c r="A733" s="42">
        <v>45817</v>
      </c>
      <c r="B733" s="10">
        <v>18</v>
      </c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</row>
    <row r="734" spans="1:14" ht="13.2">
      <c r="A734" s="42">
        <v>45817</v>
      </c>
      <c r="B734" s="10">
        <v>10</v>
      </c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</row>
    <row r="735" spans="1:14" ht="13.2">
      <c r="A735" s="42">
        <v>45817</v>
      </c>
      <c r="B735" s="10">
        <v>19.5</v>
      </c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</row>
    <row r="736" spans="1:14" ht="13.2">
      <c r="A736" s="42">
        <v>45817</v>
      </c>
      <c r="B736" s="10">
        <v>16</v>
      </c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</row>
    <row r="737" spans="1:14" ht="13.2">
      <c r="A737" s="42">
        <v>45817</v>
      </c>
      <c r="B737" s="10">
        <v>20</v>
      </c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</row>
    <row r="738" spans="1:14" ht="13.2">
      <c r="A738" s="42">
        <v>45818</v>
      </c>
      <c r="B738" s="10">
        <v>15</v>
      </c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</row>
    <row r="739" spans="1:14" ht="13.2">
      <c r="A739" s="42">
        <v>45818</v>
      </c>
      <c r="B739" s="10">
        <v>24.5</v>
      </c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</row>
    <row r="740" spans="1:14" ht="13.2">
      <c r="A740" s="42">
        <v>45818</v>
      </c>
      <c r="B740" s="10">
        <v>8</v>
      </c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</row>
    <row r="741" spans="1:14" ht="13.2">
      <c r="A741" s="42">
        <v>45818</v>
      </c>
      <c r="B741" s="10">
        <v>15</v>
      </c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</row>
    <row r="742" spans="1:14" ht="13.2">
      <c r="A742" s="42">
        <v>45818</v>
      </c>
      <c r="B742" s="10">
        <v>17</v>
      </c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</row>
    <row r="743" spans="1:14" ht="13.2">
      <c r="A743" s="42">
        <v>45818</v>
      </c>
      <c r="B743" s="10">
        <v>34</v>
      </c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</row>
    <row r="744" spans="1:14" ht="13.2">
      <c r="A744" s="42">
        <v>45819</v>
      </c>
      <c r="B744" s="10">
        <v>7.5</v>
      </c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</row>
    <row r="745" spans="1:14" ht="13.2">
      <c r="A745" s="42">
        <v>45819</v>
      </c>
      <c r="B745" s="10">
        <v>8</v>
      </c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</row>
    <row r="746" spans="1:14" ht="13.2">
      <c r="A746" s="42">
        <v>45819</v>
      </c>
      <c r="B746" s="10">
        <v>15</v>
      </c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</row>
    <row r="747" spans="1:14" ht="13.2">
      <c r="A747" s="42">
        <v>45819</v>
      </c>
      <c r="B747" s="10">
        <v>13.5</v>
      </c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</row>
    <row r="748" spans="1:14" ht="13.2">
      <c r="A748" s="42">
        <v>45819</v>
      </c>
      <c r="B748" s="10">
        <v>18</v>
      </c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</row>
    <row r="749" spans="1:14" ht="13.2">
      <c r="A749" s="42">
        <v>45820</v>
      </c>
      <c r="B749" s="10">
        <v>18</v>
      </c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</row>
    <row r="750" spans="1:14" ht="13.2">
      <c r="A750" s="42">
        <v>45820</v>
      </c>
      <c r="B750" s="10">
        <v>29.5</v>
      </c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</row>
    <row r="751" spans="1:14" ht="13.2">
      <c r="A751" s="42">
        <v>45821</v>
      </c>
      <c r="B751" s="10">
        <v>18</v>
      </c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</row>
    <row r="752" spans="1:14" ht="13.2">
      <c r="A752" s="42">
        <v>45821</v>
      </c>
      <c r="B752" s="10">
        <v>5</v>
      </c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</row>
    <row r="753" spans="1:14" ht="13.2">
      <c r="A753" s="42">
        <v>45821</v>
      </c>
      <c r="B753" s="10">
        <v>13</v>
      </c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</row>
    <row r="754" spans="1:14" ht="13.2">
      <c r="A754" s="42">
        <v>45821</v>
      </c>
      <c r="B754" s="10">
        <v>8</v>
      </c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</row>
    <row r="755" spans="1:14" ht="13.2">
      <c r="A755" s="42">
        <v>45822</v>
      </c>
      <c r="B755" s="10">
        <v>18</v>
      </c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</row>
    <row r="756" spans="1:14" ht="13.2">
      <c r="A756" s="42">
        <v>45822</v>
      </c>
      <c r="B756" s="10">
        <v>16</v>
      </c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</row>
    <row r="757" spans="1:14" ht="13.2">
      <c r="A757" s="42">
        <v>45824</v>
      </c>
      <c r="B757" s="10">
        <v>25</v>
      </c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</row>
    <row r="758" spans="1:14" ht="13.2">
      <c r="A758" s="42">
        <v>45824</v>
      </c>
      <c r="B758" s="10">
        <v>30</v>
      </c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</row>
    <row r="759" spans="1:14" ht="13.2">
      <c r="A759" s="42">
        <v>45824</v>
      </c>
      <c r="B759" s="10">
        <v>10</v>
      </c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</row>
    <row r="760" spans="1:14" ht="13.2">
      <c r="A760" s="42">
        <v>45824</v>
      </c>
      <c r="B760" s="10">
        <v>14</v>
      </c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</row>
    <row r="761" spans="1:14" ht="13.2">
      <c r="A761" s="42">
        <v>45824</v>
      </c>
      <c r="B761" s="10">
        <v>18</v>
      </c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</row>
    <row r="762" spans="1:14" ht="13.2">
      <c r="A762" s="42">
        <v>45824</v>
      </c>
      <c r="B762" s="10">
        <v>15.5</v>
      </c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</row>
    <row r="763" spans="1:14" ht="13.2">
      <c r="A763" s="42">
        <v>45824</v>
      </c>
      <c r="B763" s="10">
        <v>20</v>
      </c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</row>
    <row r="764" spans="1:14" ht="13.2">
      <c r="A764" s="42">
        <v>45825</v>
      </c>
      <c r="B764" s="10">
        <v>14.5</v>
      </c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</row>
    <row r="765" spans="1:14" ht="13.2">
      <c r="A765" s="42">
        <v>45825</v>
      </c>
      <c r="B765" s="10">
        <v>10</v>
      </c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</row>
    <row r="766" spans="1:14" ht="13.2">
      <c r="A766" s="42">
        <v>45825</v>
      </c>
      <c r="B766" s="10">
        <v>9</v>
      </c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</row>
    <row r="767" spans="1:14" ht="13.2">
      <c r="A767" s="42">
        <v>45825</v>
      </c>
      <c r="B767" s="10">
        <v>15.5</v>
      </c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</row>
    <row r="768" spans="1:14" ht="13.2">
      <c r="A768" s="42">
        <v>45826</v>
      </c>
      <c r="B768" s="10">
        <v>8</v>
      </c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</row>
    <row r="769" spans="1:14" ht="13.2">
      <c r="A769" s="42">
        <v>45826</v>
      </c>
      <c r="B769" s="10">
        <v>30</v>
      </c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</row>
    <row r="770" spans="1:14" ht="13.2">
      <c r="A770" s="42">
        <v>45826</v>
      </c>
      <c r="B770" s="10">
        <v>10</v>
      </c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</row>
    <row r="771" spans="1:14" ht="13.2">
      <c r="A771" s="42">
        <v>45826</v>
      </c>
      <c r="B771" s="10">
        <v>23.5</v>
      </c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</row>
    <row r="772" spans="1:14" ht="13.2">
      <c r="A772" s="42">
        <v>45827</v>
      </c>
      <c r="B772" s="10">
        <v>35</v>
      </c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</row>
    <row r="773" spans="1:14" ht="13.2">
      <c r="A773" s="42">
        <v>45827</v>
      </c>
      <c r="B773" s="10">
        <v>32.5</v>
      </c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</row>
    <row r="774" spans="1:14" ht="13.2">
      <c r="A774" s="42">
        <v>45827</v>
      </c>
      <c r="B774" s="10">
        <v>10</v>
      </c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</row>
    <row r="775" spans="1:14" ht="13.2">
      <c r="A775" s="42">
        <v>45827</v>
      </c>
      <c r="B775" s="10">
        <v>8</v>
      </c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</row>
    <row r="776" spans="1:14" ht="13.2">
      <c r="A776" s="42">
        <v>45827</v>
      </c>
      <c r="B776" s="10">
        <v>17</v>
      </c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</row>
    <row r="777" spans="1:14" ht="13.2">
      <c r="A777" s="42">
        <v>45827</v>
      </c>
      <c r="B777" s="10">
        <v>28</v>
      </c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</row>
    <row r="778" spans="1:14" ht="13.2">
      <c r="A778" s="42">
        <v>45827</v>
      </c>
      <c r="B778" s="10">
        <v>14.5</v>
      </c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</row>
    <row r="779" spans="1:14" ht="13.2">
      <c r="A779" s="42">
        <v>45827</v>
      </c>
      <c r="B779" s="10">
        <v>9.3000000000000007</v>
      </c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</row>
    <row r="780" spans="1:14" ht="13.2">
      <c r="A780" s="42">
        <v>45828</v>
      </c>
      <c r="B780" s="10">
        <v>18.5</v>
      </c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</row>
    <row r="781" spans="1:14" ht="13.2">
      <c r="A781" s="42">
        <v>45828</v>
      </c>
      <c r="B781" s="10">
        <v>24</v>
      </c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</row>
    <row r="782" spans="1:14" ht="13.2">
      <c r="A782" s="42">
        <v>45828</v>
      </c>
      <c r="B782" s="10">
        <v>6</v>
      </c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</row>
    <row r="783" spans="1:14" ht="13.2">
      <c r="A783" s="42">
        <v>45828</v>
      </c>
      <c r="B783" s="10">
        <v>14</v>
      </c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</row>
    <row r="784" spans="1:14" ht="13.2">
      <c r="A784" s="42">
        <v>45828</v>
      </c>
      <c r="B784" s="10">
        <v>48</v>
      </c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</row>
    <row r="785" spans="1:14" ht="13.2">
      <c r="A785" s="42">
        <v>45828</v>
      </c>
      <c r="B785" s="10">
        <v>15</v>
      </c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</row>
    <row r="786" spans="1:14" ht="13.2">
      <c r="A786" s="42">
        <v>45828</v>
      </c>
      <c r="B786" s="19">
        <v>4</v>
      </c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</row>
    <row r="787" spans="1:14" ht="13.2">
      <c r="A787" s="42">
        <v>45829</v>
      </c>
      <c r="B787" s="10">
        <v>14.5</v>
      </c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</row>
    <row r="788" spans="1:14" ht="13.2">
      <c r="A788" s="42">
        <v>45829</v>
      </c>
      <c r="B788" s="10">
        <v>18</v>
      </c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</row>
    <row r="789" spans="1:14" ht="13.2">
      <c r="A789" s="42">
        <v>45829</v>
      </c>
      <c r="B789" s="10">
        <v>16</v>
      </c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</row>
    <row r="790" spans="1:14" ht="13.2">
      <c r="A790" s="42">
        <v>45829</v>
      </c>
      <c r="B790" s="10">
        <v>1.3</v>
      </c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</row>
    <row r="791" spans="1:14" ht="13.2">
      <c r="A791" s="42">
        <v>45829</v>
      </c>
      <c r="B791" s="10">
        <v>20</v>
      </c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</row>
    <row r="792" spans="1:14" ht="13.2">
      <c r="A792" s="42">
        <v>45829</v>
      </c>
      <c r="B792" s="10">
        <v>18</v>
      </c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</row>
    <row r="793" spans="1:14" ht="13.2">
      <c r="A793" s="42">
        <v>45829</v>
      </c>
      <c r="B793" s="10">
        <v>26</v>
      </c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</row>
    <row r="794" spans="1:14" ht="13.2">
      <c r="A794" s="42">
        <v>45831</v>
      </c>
      <c r="B794" s="21">
        <v>14.5</v>
      </c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</row>
    <row r="795" spans="1:14" ht="13.2">
      <c r="A795" s="42">
        <v>45831</v>
      </c>
      <c r="B795" s="21">
        <v>24</v>
      </c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</row>
    <row r="796" spans="1:14" ht="13.2">
      <c r="A796" s="42">
        <v>45831</v>
      </c>
      <c r="B796" s="21">
        <v>13.5</v>
      </c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</row>
    <row r="797" spans="1:14" ht="13.2">
      <c r="A797" s="42">
        <v>45831</v>
      </c>
      <c r="B797" s="21">
        <v>19</v>
      </c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</row>
    <row r="798" spans="1:14" ht="13.2">
      <c r="A798" s="42">
        <v>45832</v>
      </c>
      <c r="B798" s="21">
        <v>30</v>
      </c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</row>
    <row r="799" spans="1:14" ht="13.2">
      <c r="A799" s="42">
        <v>45832</v>
      </c>
      <c r="B799" s="21">
        <v>21</v>
      </c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</row>
    <row r="800" spans="1:14" ht="13.2">
      <c r="A800" s="42">
        <v>45833</v>
      </c>
      <c r="B800" s="21">
        <v>18</v>
      </c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</row>
    <row r="801" spans="1:14" ht="13.2">
      <c r="A801" s="42">
        <v>45833</v>
      </c>
      <c r="B801" s="21">
        <v>15</v>
      </c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</row>
    <row r="802" spans="1:14" ht="13.2">
      <c r="A802" s="42">
        <v>45833</v>
      </c>
      <c r="B802" s="21">
        <v>10</v>
      </c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</row>
    <row r="803" spans="1:14" ht="13.2">
      <c r="A803" s="42">
        <v>45833</v>
      </c>
      <c r="B803" s="21">
        <v>12.5</v>
      </c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</row>
    <row r="804" spans="1:14" ht="13.2">
      <c r="A804" s="42">
        <v>45833</v>
      </c>
      <c r="B804" s="21">
        <v>12</v>
      </c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</row>
    <row r="805" spans="1:14" ht="13.2">
      <c r="A805" s="42">
        <v>45833</v>
      </c>
      <c r="B805" s="21">
        <v>12</v>
      </c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</row>
    <row r="806" spans="1:14" ht="13.2">
      <c r="A806" s="42">
        <v>45833</v>
      </c>
      <c r="B806" s="21">
        <v>15.5</v>
      </c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</row>
    <row r="807" spans="1:14" ht="13.2">
      <c r="A807" s="42">
        <v>45833</v>
      </c>
      <c r="B807" s="21">
        <v>14</v>
      </c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</row>
    <row r="808" spans="1:14" ht="13.2">
      <c r="A808" s="42">
        <v>45833</v>
      </c>
      <c r="B808" s="21">
        <v>11</v>
      </c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</row>
    <row r="809" spans="1:14" ht="13.2">
      <c r="A809" s="42">
        <v>45833</v>
      </c>
      <c r="B809" s="21">
        <v>10</v>
      </c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</row>
    <row r="810" spans="1:14" ht="13.2">
      <c r="A810" s="42">
        <v>45833</v>
      </c>
      <c r="B810" s="10">
        <v>25.5</v>
      </c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</row>
    <row r="811" spans="1:14" ht="13.2">
      <c r="A811" s="42">
        <v>45834</v>
      </c>
      <c r="B811" s="10">
        <v>32.5</v>
      </c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</row>
    <row r="812" spans="1:14" ht="13.2">
      <c r="A812" s="42">
        <v>45834</v>
      </c>
      <c r="B812" s="10">
        <v>10</v>
      </c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</row>
    <row r="813" spans="1:14" ht="13.2">
      <c r="A813" s="42">
        <v>45834</v>
      </c>
      <c r="B813" s="10">
        <v>34.6</v>
      </c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</row>
    <row r="814" spans="1:14" ht="13.2">
      <c r="A814" s="42">
        <v>45834</v>
      </c>
      <c r="B814" s="10">
        <v>32.5</v>
      </c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</row>
    <row r="815" spans="1:14" ht="13.2">
      <c r="A815" s="42">
        <v>45834</v>
      </c>
      <c r="B815" s="10">
        <v>6.6</v>
      </c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</row>
    <row r="816" spans="1:14" ht="13.2">
      <c r="A816" s="42">
        <v>45835</v>
      </c>
      <c r="B816" s="10">
        <v>25.9</v>
      </c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</row>
    <row r="817" spans="1:14" ht="13.2">
      <c r="A817" s="42">
        <v>45835</v>
      </c>
      <c r="B817" s="10">
        <v>25</v>
      </c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</row>
    <row r="818" spans="1:14" ht="13.2">
      <c r="A818" s="42">
        <v>45835</v>
      </c>
      <c r="B818" s="10">
        <v>12</v>
      </c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</row>
    <row r="819" spans="1:14" ht="13.2">
      <c r="A819" s="42">
        <v>45835</v>
      </c>
      <c r="B819" s="10">
        <v>13.5</v>
      </c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</row>
    <row r="820" spans="1:14" ht="13.2">
      <c r="A820" s="42">
        <v>45835</v>
      </c>
      <c r="B820" s="10">
        <v>19.8</v>
      </c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</row>
    <row r="821" spans="1:14" ht="13.2">
      <c r="A821" s="42">
        <v>45835</v>
      </c>
      <c r="B821" s="10">
        <v>30</v>
      </c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</row>
    <row r="822" spans="1:14" ht="13.2">
      <c r="A822" s="42">
        <v>45836</v>
      </c>
      <c r="B822" s="10">
        <v>26</v>
      </c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</row>
    <row r="823" spans="1:14" ht="13.2">
      <c r="A823" s="42">
        <v>45836</v>
      </c>
      <c r="B823" s="10">
        <v>7</v>
      </c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</row>
    <row r="824" spans="1:14" ht="13.2">
      <c r="A824" s="42">
        <v>45836</v>
      </c>
      <c r="B824" s="10">
        <v>10</v>
      </c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</row>
    <row r="825" spans="1:14" ht="13.2">
      <c r="A825" s="42">
        <v>45836</v>
      </c>
      <c r="B825" s="10">
        <v>7.5</v>
      </c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</row>
    <row r="826" spans="1:14" ht="13.2">
      <c r="A826" s="42">
        <v>45838</v>
      </c>
      <c r="B826" s="10">
        <v>13</v>
      </c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</row>
    <row r="827" spans="1:14" ht="13.2">
      <c r="A827" s="42">
        <v>45838</v>
      </c>
      <c r="B827" s="10">
        <v>24</v>
      </c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</row>
    <row r="828" spans="1:14" ht="13.2">
      <c r="A828" s="42">
        <v>45838</v>
      </c>
      <c r="B828" s="10">
        <v>8</v>
      </c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</row>
    <row r="829" spans="1:14" ht="13.2">
      <c r="A829" s="42">
        <v>45838</v>
      </c>
      <c r="B829" s="10">
        <v>14</v>
      </c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</row>
    <row r="830" spans="1:14" ht="13.2">
      <c r="A830" s="42">
        <v>45839</v>
      </c>
      <c r="B830" s="10">
        <v>39.700000000000003</v>
      </c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</row>
    <row r="831" spans="1:14" ht="13.2">
      <c r="A831" s="42">
        <v>45839</v>
      </c>
      <c r="B831" s="10">
        <v>10</v>
      </c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</row>
    <row r="832" spans="1:14" ht="13.2">
      <c r="A832" s="42">
        <v>45839</v>
      </c>
      <c r="B832" s="10">
        <v>31.5</v>
      </c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</row>
    <row r="833" spans="1:14" ht="13.2">
      <c r="A833" s="42">
        <v>45839</v>
      </c>
      <c r="B833" s="10">
        <v>9</v>
      </c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</row>
    <row r="834" spans="1:14" ht="13.2">
      <c r="A834" s="42">
        <v>45839</v>
      </c>
      <c r="B834" s="10">
        <v>24</v>
      </c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</row>
    <row r="835" spans="1:14" ht="13.2">
      <c r="A835" s="42">
        <v>45839</v>
      </c>
      <c r="B835" s="10">
        <v>1</v>
      </c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</row>
    <row r="836" spans="1:14" ht="13.2">
      <c r="A836" s="42">
        <v>45840</v>
      </c>
      <c r="B836" s="21">
        <v>3.5</v>
      </c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</row>
    <row r="837" spans="1:14" ht="13.2">
      <c r="A837" s="42">
        <v>45840</v>
      </c>
      <c r="B837" s="10">
        <v>34</v>
      </c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</row>
    <row r="838" spans="1:14" ht="13.2">
      <c r="A838" s="42">
        <v>45840</v>
      </c>
      <c r="B838" s="10">
        <v>19</v>
      </c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</row>
    <row r="839" spans="1:14" ht="13.2">
      <c r="A839" s="42">
        <v>45840</v>
      </c>
      <c r="B839" s="10">
        <v>18</v>
      </c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</row>
    <row r="840" spans="1:14" ht="13.2">
      <c r="A840" s="42">
        <v>45840</v>
      </c>
      <c r="B840" s="10">
        <v>15</v>
      </c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</row>
    <row r="841" spans="1:14" ht="13.2">
      <c r="A841" s="42">
        <v>45840</v>
      </c>
      <c r="B841" s="10">
        <v>20</v>
      </c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</row>
    <row r="842" spans="1:14" ht="13.2">
      <c r="A842" s="42">
        <v>45840</v>
      </c>
      <c r="B842" s="10">
        <v>10</v>
      </c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</row>
    <row r="843" spans="1:14" ht="13.2">
      <c r="A843" s="42">
        <v>45840</v>
      </c>
      <c r="B843" s="10">
        <v>18</v>
      </c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</row>
    <row r="844" spans="1:14" ht="13.2">
      <c r="A844" s="42">
        <v>45841</v>
      </c>
      <c r="B844" s="10">
        <v>15</v>
      </c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</row>
    <row r="845" spans="1:14" ht="13.2">
      <c r="A845" s="42">
        <v>45841</v>
      </c>
      <c r="B845" s="10">
        <v>18</v>
      </c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</row>
    <row r="846" spans="1:14" ht="13.2">
      <c r="A846" s="42">
        <v>45841</v>
      </c>
      <c r="B846" s="10">
        <v>8.5</v>
      </c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</row>
    <row r="847" spans="1:14" ht="13.2">
      <c r="A847" s="42">
        <v>45841</v>
      </c>
      <c r="B847" s="10">
        <v>6.5</v>
      </c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</row>
    <row r="848" spans="1:14" ht="13.2">
      <c r="A848" s="42">
        <v>45841</v>
      </c>
      <c r="B848" s="10">
        <v>13</v>
      </c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</row>
    <row r="849" spans="1:14" ht="13.2">
      <c r="A849" s="42">
        <v>45841</v>
      </c>
      <c r="B849" s="10">
        <v>5.5</v>
      </c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</row>
    <row r="850" spans="1:14" ht="13.2">
      <c r="A850" s="42">
        <v>45841</v>
      </c>
      <c r="B850" s="10">
        <v>18</v>
      </c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</row>
    <row r="851" spans="1:14" ht="13.2">
      <c r="A851" s="42">
        <v>45841</v>
      </c>
      <c r="B851" s="10">
        <v>24</v>
      </c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</row>
    <row r="852" spans="1:14" ht="13.2">
      <c r="A852" s="42">
        <v>45842</v>
      </c>
      <c r="B852" s="10">
        <v>29</v>
      </c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</row>
    <row r="853" spans="1:14" ht="13.2">
      <c r="A853" s="42">
        <v>45842</v>
      </c>
      <c r="B853" s="10">
        <v>23.5</v>
      </c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</row>
    <row r="854" spans="1:14" ht="13.2">
      <c r="A854" s="42">
        <v>45842</v>
      </c>
      <c r="B854" s="10">
        <v>30.5</v>
      </c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</row>
    <row r="855" spans="1:14" ht="13.2">
      <c r="A855" s="42">
        <v>45843</v>
      </c>
      <c r="B855" s="10">
        <v>27</v>
      </c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</row>
    <row r="856" spans="1:14" ht="13.2">
      <c r="A856" s="42">
        <v>45843</v>
      </c>
      <c r="B856" s="10">
        <v>10</v>
      </c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</row>
    <row r="857" spans="1:14" ht="13.2">
      <c r="A857" s="42">
        <v>45843</v>
      </c>
      <c r="B857" s="10">
        <v>28</v>
      </c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</row>
    <row r="858" spans="1:14" ht="13.2">
      <c r="A858" s="42">
        <v>45843</v>
      </c>
      <c r="B858" s="10">
        <v>25.5</v>
      </c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</row>
    <row r="859" spans="1:14" ht="13.2">
      <c r="A859" s="42">
        <v>45845</v>
      </c>
      <c r="B859" s="10">
        <v>27.5</v>
      </c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</row>
    <row r="860" spans="1:14" ht="13.2">
      <c r="A860" s="42">
        <v>45845</v>
      </c>
      <c r="B860" s="10">
        <v>22.5</v>
      </c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</row>
    <row r="861" spans="1:14" ht="13.2">
      <c r="A861" s="42">
        <v>45845</v>
      </c>
      <c r="B861" s="10">
        <v>6</v>
      </c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</row>
    <row r="862" spans="1:14" ht="13.2">
      <c r="A862" s="42">
        <v>45845</v>
      </c>
      <c r="B862" s="10">
        <v>20</v>
      </c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</row>
    <row r="863" spans="1:14" ht="13.2">
      <c r="A863" s="42">
        <v>45845</v>
      </c>
      <c r="B863" s="10">
        <v>19.5</v>
      </c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</row>
    <row r="864" spans="1:14" ht="13.2">
      <c r="A864" s="42">
        <v>45845</v>
      </c>
      <c r="B864" s="10">
        <v>37</v>
      </c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</row>
    <row r="865" spans="1:14" ht="13.2">
      <c r="A865" s="42">
        <v>45846</v>
      </c>
      <c r="B865" s="10">
        <v>9</v>
      </c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</row>
    <row r="866" spans="1:14" ht="13.2">
      <c r="A866" s="42">
        <v>45846</v>
      </c>
      <c r="B866" s="10">
        <v>15</v>
      </c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</row>
    <row r="867" spans="1:14" ht="13.2">
      <c r="A867" s="42">
        <v>45847</v>
      </c>
      <c r="B867" s="10">
        <v>12</v>
      </c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</row>
    <row r="868" spans="1:14" ht="13.2">
      <c r="A868" s="42">
        <v>45847</v>
      </c>
      <c r="B868" s="10">
        <v>20.5</v>
      </c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</row>
    <row r="869" spans="1:14" ht="13.2">
      <c r="A869" s="42">
        <v>45847</v>
      </c>
      <c r="B869" s="10">
        <v>10</v>
      </c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</row>
    <row r="870" spans="1:14" ht="13.2">
      <c r="A870" s="42">
        <v>45847</v>
      </c>
      <c r="B870" s="10">
        <v>25.5</v>
      </c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</row>
    <row r="871" spans="1:14" ht="13.2">
      <c r="A871" s="42">
        <v>45847</v>
      </c>
      <c r="B871" s="10">
        <v>7</v>
      </c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</row>
    <row r="872" spans="1:14" ht="13.2">
      <c r="A872" s="42">
        <v>45847</v>
      </c>
      <c r="B872" s="10">
        <v>17</v>
      </c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</row>
    <row r="873" spans="1:14" ht="13.2">
      <c r="A873" s="42">
        <v>45847</v>
      </c>
      <c r="B873" s="10">
        <v>18</v>
      </c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</row>
    <row r="874" spans="1:14" ht="13.2">
      <c r="A874" s="42">
        <v>45847</v>
      </c>
      <c r="B874" s="10">
        <v>16.5</v>
      </c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</row>
    <row r="875" spans="1:14" ht="13.2">
      <c r="A875" s="42">
        <v>45848</v>
      </c>
      <c r="B875" s="10">
        <v>32.5</v>
      </c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</row>
    <row r="876" spans="1:14" ht="13.2">
      <c r="A876" s="42">
        <v>45848</v>
      </c>
      <c r="B876" s="10">
        <v>15</v>
      </c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</row>
    <row r="877" spans="1:14" ht="13.2">
      <c r="A877" s="42">
        <v>45848</v>
      </c>
      <c r="B877" s="10">
        <v>30</v>
      </c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</row>
    <row r="878" spans="1:14" ht="13.2">
      <c r="A878" s="42">
        <v>45848</v>
      </c>
      <c r="B878" s="10">
        <v>12</v>
      </c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</row>
    <row r="879" spans="1:14" ht="13.2">
      <c r="A879" s="42">
        <v>45848</v>
      </c>
      <c r="B879" s="10">
        <v>10.4</v>
      </c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</row>
    <row r="880" spans="1:14" ht="13.2">
      <c r="A880" s="42">
        <v>45848</v>
      </c>
      <c r="B880" s="10">
        <v>25</v>
      </c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</row>
    <row r="881" spans="1:14" ht="13.2">
      <c r="A881" s="42">
        <v>45849</v>
      </c>
      <c r="B881" s="10">
        <v>24</v>
      </c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</row>
    <row r="882" spans="1:14" ht="13.2">
      <c r="A882" s="42">
        <v>45849</v>
      </c>
      <c r="B882" s="10">
        <v>10</v>
      </c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</row>
    <row r="883" spans="1:14" ht="13.2">
      <c r="A883" s="42">
        <v>45849</v>
      </c>
      <c r="B883" s="10">
        <v>10.5</v>
      </c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</row>
    <row r="884" spans="1:14" ht="13.2">
      <c r="A884" s="42">
        <v>45849</v>
      </c>
      <c r="B884" s="10">
        <v>10.8</v>
      </c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</row>
    <row r="885" spans="1:14" ht="13.2">
      <c r="A885" s="42">
        <v>45850</v>
      </c>
      <c r="B885" s="10">
        <v>30</v>
      </c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</row>
    <row r="886" spans="1:14" ht="13.2">
      <c r="A886" s="42">
        <v>45850</v>
      </c>
      <c r="B886" s="10">
        <v>15.6</v>
      </c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</row>
    <row r="887" spans="1:14" ht="13.2">
      <c r="A887" s="42">
        <v>45850</v>
      </c>
      <c r="B887" s="10">
        <v>24</v>
      </c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</row>
    <row r="888" spans="1:14" ht="13.2">
      <c r="A888" s="42">
        <v>45850</v>
      </c>
      <c r="B888" s="10">
        <v>11.5</v>
      </c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</row>
    <row r="889" spans="1:14" ht="13.2">
      <c r="A889" s="42">
        <v>45850</v>
      </c>
      <c r="B889" s="10">
        <v>29.2</v>
      </c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</row>
    <row r="890" spans="1:14" ht="13.2">
      <c r="A890" s="42">
        <v>45852</v>
      </c>
      <c r="B890" s="10">
        <v>14.5</v>
      </c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</row>
    <row r="891" spans="1:14" ht="13.2">
      <c r="A891" s="42">
        <v>45852</v>
      </c>
      <c r="B891" s="10">
        <v>24</v>
      </c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</row>
    <row r="892" spans="1:14" ht="13.2">
      <c r="A892" s="42">
        <v>45852</v>
      </c>
      <c r="B892" s="10">
        <v>24</v>
      </c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</row>
    <row r="893" spans="1:14" ht="13.2">
      <c r="A893" s="42">
        <v>45852</v>
      </c>
      <c r="B893" s="10">
        <v>7</v>
      </c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</row>
    <row r="894" spans="1:14" ht="13.2">
      <c r="A894" s="42">
        <v>45852</v>
      </c>
      <c r="B894" s="10">
        <v>13.5</v>
      </c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</row>
    <row r="895" spans="1:14" ht="13.2">
      <c r="A895" s="42">
        <v>45852</v>
      </c>
      <c r="B895" s="10">
        <v>14</v>
      </c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</row>
    <row r="896" spans="1:14" ht="13.2">
      <c r="A896" s="42">
        <v>45852</v>
      </c>
      <c r="B896" s="10">
        <v>9.1</v>
      </c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</row>
    <row r="897" spans="1:14" ht="13.2">
      <c r="A897" s="42">
        <v>45852</v>
      </c>
      <c r="B897" s="10">
        <v>15</v>
      </c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</row>
    <row r="898" spans="1:14" ht="13.2">
      <c r="A898" s="42">
        <v>45852</v>
      </c>
      <c r="B898" s="10">
        <v>31.2</v>
      </c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</row>
    <row r="899" spans="1:14" ht="13.2">
      <c r="A899" s="42">
        <v>45853</v>
      </c>
      <c r="B899" s="10">
        <v>18</v>
      </c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</row>
    <row r="900" spans="1:14" ht="13.2">
      <c r="A900" s="42">
        <v>45853</v>
      </c>
      <c r="B900" s="10">
        <v>14.5</v>
      </c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</row>
    <row r="901" spans="1:14" ht="13.2">
      <c r="A901" s="42">
        <v>45853</v>
      </c>
      <c r="B901" s="10">
        <v>11</v>
      </c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</row>
    <row r="902" spans="1:14" ht="13.2">
      <c r="A902" s="42">
        <v>45853</v>
      </c>
      <c r="B902" s="10">
        <v>16.3</v>
      </c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</row>
    <row r="903" spans="1:14" ht="13.2">
      <c r="A903" s="42">
        <v>45854</v>
      </c>
      <c r="B903" s="10">
        <v>11</v>
      </c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</row>
    <row r="904" spans="1:14" ht="13.2">
      <c r="A904" s="42">
        <v>45854</v>
      </c>
      <c r="B904" s="10">
        <v>26</v>
      </c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</row>
    <row r="905" spans="1:14" ht="13.2">
      <c r="A905" s="42">
        <v>45854</v>
      </c>
      <c r="B905" s="10">
        <v>15</v>
      </c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</row>
    <row r="906" spans="1:14" ht="13.2">
      <c r="A906" s="42">
        <v>45854</v>
      </c>
      <c r="B906" s="10">
        <v>8</v>
      </c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</row>
    <row r="907" spans="1:14" ht="13.2">
      <c r="A907" s="42">
        <v>45854</v>
      </c>
      <c r="B907" s="10">
        <v>7</v>
      </c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</row>
    <row r="908" spans="1:14" ht="13.2">
      <c r="A908" s="42">
        <v>45854</v>
      </c>
      <c r="B908" s="10">
        <v>10</v>
      </c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</row>
    <row r="909" spans="1:14" ht="13.2">
      <c r="A909" s="42">
        <v>45854</v>
      </c>
      <c r="B909" s="10">
        <v>9</v>
      </c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</row>
    <row r="910" spans="1:14" ht="13.2">
      <c r="A910" s="42">
        <v>45854</v>
      </c>
      <c r="B910" s="10">
        <v>25</v>
      </c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</row>
    <row r="911" spans="1:14" ht="13.2">
      <c r="A911" s="42">
        <v>45854</v>
      </c>
      <c r="B911" s="10">
        <v>10</v>
      </c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</row>
    <row r="912" spans="1:14" ht="13.2">
      <c r="A912" s="42">
        <v>45854</v>
      </c>
      <c r="B912" s="10">
        <v>10</v>
      </c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</row>
    <row r="913" spans="1:14" ht="13.2">
      <c r="A913" s="42">
        <v>45854</v>
      </c>
      <c r="B913" s="10">
        <v>10</v>
      </c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</row>
    <row r="914" spans="1:14" ht="13.2">
      <c r="A914" s="42">
        <v>45855</v>
      </c>
      <c r="B914" s="10">
        <v>15.5</v>
      </c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</row>
    <row r="915" spans="1:14" ht="13.2">
      <c r="A915" s="42">
        <v>45855</v>
      </c>
      <c r="B915" s="10">
        <v>56.3</v>
      </c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</row>
    <row r="916" spans="1:14" ht="13.2">
      <c r="A916" s="42">
        <v>45855</v>
      </c>
      <c r="B916" s="10">
        <v>66.3</v>
      </c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</row>
    <row r="917" spans="1:14" ht="13.2">
      <c r="A917" s="42">
        <v>45856</v>
      </c>
      <c r="B917" s="10">
        <v>12.4</v>
      </c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</row>
    <row r="918" spans="1:14" ht="13.2">
      <c r="A918" s="42">
        <v>45856</v>
      </c>
      <c r="B918" s="10">
        <v>11</v>
      </c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</row>
    <row r="919" spans="1:14" ht="13.2">
      <c r="A919" s="42">
        <v>45856</v>
      </c>
      <c r="B919" s="10">
        <v>27.7</v>
      </c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</row>
    <row r="920" spans="1:14" ht="13.2">
      <c r="A920" s="42">
        <v>45857</v>
      </c>
      <c r="B920" s="10">
        <v>9</v>
      </c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</row>
    <row r="921" spans="1:14" ht="13.2">
      <c r="A921" s="42">
        <v>45857</v>
      </c>
      <c r="B921" s="10">
        <v>10</v>
      </c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</row>
    <row r="922" spans="1:14" ht="13.2">
      <c r="A922" s="42">
        <v>45857</v>
      </c>
      <c r="B922" s="10">
        <v>15</v>
      </c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</row>
    <row r="923" spans="1:14" ht="13.2">
      <c r="A923" s="42">
        <v>45857</v>
      </c>
      <c r="B923" s="10">
        <v>9.4</v>
      </c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</row>
    <row r="924" spans="1:14" ht="13.2">
      <c r="A924" s="42">
        <v>45857</v>
      </c>
      <c r="B924" s="10">
        <v>13</v>
      </c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</row>
    <row r="925" spans="1:14" ht="13.2">
      <c r="A925" s="42">
        <v>45857</v>
      </c>
      <c r="B925" s="10">
        <v>10</v>
      </c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</row>
    <row r="926" spans="1:14" ht="13.2">
      <c r="A926" s="42">
        <v>45857</v>
      </c>
      <c r="B926" s="18">
        <v>12</v>
      </c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</row>
    <row r="927" spans="1:14" ht="13.2">
      <c r="A927" s="42">
        <v>45859</v>
      </c>
      <c r="B927" s="10">
        <v>9.5</v>
      </c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</row>
    <row r="928" spans="1:14" ht="13.2">
      <c r="A928" s="42">
        <v>45859</v>
      </c>
      <c r="B928" s="10">
        <v>27.5</v>
      </c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</row>
    <row r="929" spans="1:14" ht="13.2">
      <c r="A929" s="42">
        <v>45859</v>
      </c>
      <c r="B929" s="10">
        <v>23.5</v>
      </c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</row>
    <row r="930" spans="1:14" ht="13.2">
      <c r="A930" s="42">
        <v>45859</v>
      </c>
      <c r="B930" s="10">
        <v>15</v>
      </c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</row>
    <row r="931" spans="1:14" ht="13.2">
      <c r="A931" s="42">
        <v>45859</v>
      </c>
      <c r="B931" s="10">
        <v>13.5</v>
      </c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</row>
    <row r="932" spans="1:14" ht="13.2">
      <c r="A932" s="42">
        <v>45859</v>
      </c>
      <c r="B932" s="10">
        <v>48</v>
      </c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</row>
    <row r="933" spans="1:14" ht="13.2">
      <c r="A933" s="42">
        <v>45860</v>
      </c>
      <c r="B933" s="10">
        <v>13</v>
      </c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</row>
    <row r="934" spans="1:14" ht="13.2">
      <c r="A934" s="42">
        <v>45860</v>
      </c>
      <c r="B934" s="10">
        <v>20</v>
      </c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</row>
    <row r="935" spans="1:14" ht="13.2">
      <c r="A935" s="42">
        <v>45860</v>
      </c>
      <c r="B935" s="10">
        <v>20.5</v>
      </c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</row>
    <row r="936" spans="1:14" ht="13.2">
      <c r="A936" s="42">
        <v>45860</v>
      </c>
      <c r="B936" s="10">
        <v>11.5</v>
      </c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</row>
    <row r="937" spans="1:14" ht="13.2">
      <c r="A937" s="42">
        <v>45860</v>
      </c>
      <c r="B937" s="10">
        <v>14.5</v>
      </c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</row>
    <row r="938" spans="1:14" ht="13.2">
      <c r="A938" s="42">
        <v>45860</v>
      </c>
      <c r="B938" s="10">
        <v>15</v>
      </c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</row>
    <row r="939" spans="1:14" ht="13.2">
      <c r="A939" s="42">
        <v>45862</v>
      </c>
      <c r="B939" s="10">
        <v>22</v>
      </c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</row>
    <row r="940" spans="1:14" ht="13.2">
      <c r="A940" s="42">
        <v>45862</v>
      </c>
      <c r="B940" s="10">
        <v>43</v>
      </c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</row>
    <row r="941" spans="1:14" ht="13.2">
      <c r="A941" s="42">
        <v>45862</v>
      </c>
      <c r="B941" s="10">
        <v>6</v>
      </c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</row>
    <row r="942" spans="1:14" ht="13.2">
      <c r="A942" s="42">
        <v>45862</v>
      </c>
      <c r="B942" s="10">
        <v>7</v>
      </c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</row>
    <row r="943" spans="1:14" ht="13.2">
      <c r="A943" s="42">
        <v>45862</v>
      </c>
      <c r="B943" s="10">
        <v>7.3</v>
      </c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</row>
    <row r="944" spans="1:14" ht="13.2">
      <c r="A944" s="42">
        <v>45862</v>
      </c>
      <c r="B944" s="10">
        <v>32</v>
      </c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</row>
    <row r="945" spans="1:14" ht="13.2">
      <c r="A945" s="42">
        <v>45863</v>
      </c>
      <c r="B945" s="10">
        <v>9.8000000000000007</v>
      </c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</row>
    <row r="946" spans="1:14" ht="13.2">
      <c r="A946" s="42">
        <v>45863</v>
      </c>
      <c r="B946" s="10">
        <v>14.3</v>
      </c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</row>
    <row r="947" spans="1:14" ht="13.2">
      <c r="A947" s="42">
        <v>45863</v>
      </c>
      <c r="B947" s="10">
        <v>12.9</v>
      </c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</row>
    <row r="948" spans="1:14" ht="13.2">
      <c r="A948" s="42">
        <v>45863</v>
      </c>
      <c r="B948" s="10">
        <v>10</v>
      </c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</row>
    <row r="949" spans="1:14" ht="13.2">
      <c r="A949" s="42">
        <v>45863</v>
      </c>
      <c r="B949" s="10">
        <v>7</v>
      </c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</row>
    <row r="950" spans="1:14" ht="13.2">
      <c r="A950" s="42">
        <v>45863</v>
      </c>
      <c r="B950" s="10">
        <v>8</v>
      </c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</row>
    <row r="951" spans="1:14" ht="13.2">
      <c r="A951" s="42">
        <v>45864</v>
      </c>
      <c r="B951" s="10">
        <v>11</v>
      </c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</row>
    <row r="952" spans="1:14" ht="13.2">
      <c r="A952" s="42">
        <v>45864</v>
      </c>
      <c r="B952" s="10">
        <v>15</v>
      </c>
      <c r="C952" s="2"/>
      <c r="D952" s="2">
        <f>27.5+11.3</f>
        <v>38.799999999999997</v>
      </c>
      <c r="E952" s="2"/>
      <c r="F952" s="2"/>
      <c r="G952" s="2"/>
      <c r="H952" s="2"/>
      <c r="I952" s="2"/>
      <c r="J952" s="2"/>
      <c r="K952" s="2"/>
      <c r="L952" s="2"/>
      <c r="M952" s="2"/>
      <c r="N952" s="2"/>
    </row>
    <row r="953" spans="1:14" ht="13.2">
      <c r="A953" s="42">
        <v>45864</v>
      </c>
      <c r="B953" s="10">
        <v>8.1999999999999993</v>
      </c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</row>
    <row r="954" spans="1:14" ht="13.2">
      <c r="A954" s="42">
        <v>45868</v>
      </c>
      <c r="B954" s="21">
        <v>10.5</v>
      </c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</row>
    <row r="955" spans="1:14" ht="13.2">
      <c r="A955" s="42">
        <v>45868</v>
      </c>
      <c r="B955" s="10">
        <v>45</v>
      </c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</row>
    <row r="956" spans="1:14" ht="13.2">
      <c r="A956" s="42">
        <v>45868</v>
      </c>
      <c r="B956" s="10">
        <v>35</v>
      </c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</row>
    <row r="957" spans="1:14" ht="13.2">
      <c r="A957" s="42">
        <v>45868</v>
      </c>
      <c r="B957" s="10">
        <v>10.1</v>
      </c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</row>
    <row r="958" spans="1:14" ht="13.2">
      <c r="A958" s="42">
        <v>45868</v>
      </c>
      <c r="B958" s="10">
        <v>45</v>
      </c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</row>
    <row r="959" spans="1:14" ht="13.2">
      <c r="A959" s="42">
        <v>45868</v>
      </c>
      <c r="B959" s="10">
        <v>14</v>
      </c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</row>
    <row r="960" spans="1:14" ht="13.2">
      <c r="A960" s="42">
        <v>45869</v>
      </c>
      <c r="B960" s="10">
        <v>3.9</v>
      </c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</row>
    <row r="961" spans="1:14" ht="13.2">
      <c r="A961" s="42">
        <v>45869</v>
      </c>
      <c r="B961" s="10">
        <v>6.1</v>
      </c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</row>
    <row r="962" spans="1:14" ht="13.2">
      <c r="A962" s="42">
        <v>45869</v>
      </c>
      <c r="B962" s="10">
        <v>13</v>
      </c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</row>
    <row r="963" spans="1:14" ht="13.2">
      <c r="A963" s="42">
        <v>45869</v>
      </c>
      <c r="B963" s="10">
        <v>10.9</v>
      </c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</row>
    <row r="964" spans="1:14" ht="13.2">
      <c r="A964" s="42">
        <v>45870</v>
      </c>
      <c r="B964" s="10">
        <v>18</v>
      </c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</row>
    <row r="965" spans="1:14" ht="13.2">
      <c r="A965" s="42">
        <v>45870</v>
      </c>
      <c r="B965" s="10">
        <v>44.5</v>
      </c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</row>
    <row r="966" spans="1:14" ht="13.2">
      <c r="A966" s="42">
        <v>45870</v>
      </c>
      <c r="B966" s="10">
        <v>16.899999999999999</v>
      </c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</row>
    <row r="967" spans="1:14" ht="13.2">
      <c r="A967" s="42">
        <v>45870</v>
      </c>
      <c r="B967" s="10">
        <v>6.5</v>
      </c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</row>
    <row r="968" spans="1:14" ht="13.2">
      <c r="A968" s="42">
        <v>45870</v>
      </c>
      <c r="B968" s="10">
        <v>6.9</v>
      </c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</row>
    <row r="969" spans="1:14" ht="13.2">
      <c r="A969" s="42">
        <v>45870</v>
      </c>
      <c r="B969" s="10">
        <v>15.8</v>
      </c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</row>
    <row r="970" spans="1:14" ht="13.2">
      <c r="A970" s="42">
        <v>45870</v>
      </c>
      <c r="B970" s="10">
        <v>7</v>
      </c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</row>
    <row r="971" spans="1:14" ht="13.2">
      <c r="A971" s="42">
        <v>45870</v>
      </c>
      <c r="B971" s="10">
        <v>15</v>
      </c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</row>
    <row r="972" spans="1:14" ht="13.2">
      <c r="A972" s="42">
        <v>45870</v>
      </c>
      <c r="B972" s="10">
        <v>30</v>
      </c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</row>
    <row r="973" spans="1:14" ht="13.2">
      <c r="A973" s="42">
        <v>45871</v>
      </c>
      <c r="B973" s="10">
        <v>12</v>
      </c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</row>
    <row r="974" spans="1:14" ht="13.2">
      <c r="A974" s="42">
        <v>45871</v>
      </c>
      <c r="B974" s="10">
        <v>14.5</v>
      </c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</row>
    <row r="975" spans="1:14" ht="13.2">
      <c r="A975" s="42">
        <v>45871</v>
      </c>
      <c r="B975" s="10">
        <v>10</v>
      </c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</row>
    <row r="976" spans="1:14" ht="13.2">
      <c r="A976" s="42">
        <v>45871</v>
      </c>
      <c r="B976" s="10">
        <v>11</v>
      </c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</row>
    <row r="977" spans="1:14" ht="13.2">
      <c r="A977" s="42">
        <v>45871</v>
      </c>
      <c r="B977" s="10">
        <v>18</v>
      </c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</row>
    <row r="978" spans="1:14" ht="13.2">
      <c r="A978" s="42">
        <v>45871</v>
      </c>
      <c r="B978" s="10">
        <v>26</v>
      </c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</row>
    <row r="979" spans="1:14" ht="13.2">
      <c r="A979" s="42">
        <v>45871</v>
      </c>
      <c r="B979" s="10">
        <v>25.3</v>
      </c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</row>
    <row r="980" spans="1:14" ht="13.2">
      <c r="A980" s="42">
        <v>45871</v>
      </c>
      <c r="B980" s="10">
        <v>17.899999999999999</v>
      </c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</row>
    <row r="981" spans="1:14" ht="13.2">
      <c r="A981" s="42">
        <v>45873</v>
      </c>
      <c r="B981" s="10">
        <v>10.6</v>
      </c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</row>
    <row r="982" spans="1:14" ht="13.2">
      <c r="A982" s="42">
        <v>45873</v>
      </c>
      <c r="B982" s="10">
        <v>18</v>
      </c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</row>
    <row r="983" spans="1:14" ht="13.2">
      <c r="A983" s="42">
        <v>45873</v>
      </c>
      <c r="B983" s="10">
        <v>10.4</v>
      </c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</row>
    <row r="984" spans="1:14" ht="13.2">
      <c r="A984" s="42">
        <v>45874</v>
      </c>
      <c r="B984" s="10">
        <v>20</v>
      </c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</row>
    <row r="985" spans="1:14" ht="13.2">
      <c r="A985" s="42">
        <v>45874</v>
      </c>
      <c r="B985" s="10">
        <v>20</v>
      </c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</row>
    <row r="986" spans="1:14" ht="13.2">
      <c r="A986" s="42">
        <v>45874</v>
      </c>
      <c r="B986" s="10">
        <v>9.1999999999999993</v>
      </c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</row>
    <row r="987" spans="1:14" ht="13.2">
      <c r="A987" s="42">
        <v>45874</v>
      </c>
      <c r="B987" s="10">
        <v>11.4</v>
      </c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</row>
    <row r="988" spans="1:14" ht="13.2">
      <c r="A988" s="42">
        <v>45874</v>
      </c>
      <c r="B988" s="10">
        <v>14</v>
      </c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</row>
    <row r="989" spans="1:14" ht="13.2">
      <c r="A989" s="42">
        <v>45874</v>
      </c>
      <c r="B989" s="10">
        <v>22</v>
      </c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</row>
    <row r="990" spans="1:14" ht="13.2">
      <c r="A990" s="42">
        <v>45874</v>
      </c>
      <c r="B990" s="10">
        <v>26.6</v>
      </c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</row>
    <row r="991" spans="1:14" ht="13.2">
      <c r="A991" s="42">
        <v>45875</v>
      </c>
      <c r="B991" s="10">
        <v>22</v>
      </c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</row>
    <row r="992" spans="1:14" ht="13.2">
      <c r="A992" s="42">
        <v>45875</v>
      </c>
      <c r="B992" s="10">
        <v>20</v>
      </c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</row>
    <row r="993" spans="1:14" ht="13.2">
      <c r="A993" s="42">
        <v>45875</v>
      </c>
      <c r="B993" s="10">
        <v>5</v>
      </c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</row>
    <row r="994" spans="1:14" ht="13.2">
      <c r="A994" s="42">
        <v>45875</v>
      </c>
      <c r="B994" s="10">
        <v>9</v>
      </c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</row>
    <row r="995" spans="1:14" ht="13.2">
      <c r="A995" s="42">
        <v>45876</v>
      </c>
      <c r="B995" s="10">
        <v>30.6</v>
      </c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</row>
    <row r="996" spans="1:14" ht="13.2">
      <c r="A996" s="42">
        <v>45876</v>
      </c>
      <c r="B996" s="10">
        <v>16.100000000000001</v>
      </c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</row>
    <row r="997" spans="1:14" ht="13.2">
      <c r="A997" s="42">
        <v>45876</v>
      </c>
      <c r="B997" s="10">
        <v>12</v>
      </c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</row>
    <row r="998" spans="1:14" ht="13.2">
      <c r="A998" s="42">
        <v>45876</v>
      </c>
      <c r="B998" s="10">
        <v>33</v>
      </c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</row>
    <row r="999" spans="1:14" ht="13.2">
      <c r="A999" s="42">
        <v>45876</v>
      </c>
      <c r="B999" s="10">
        <v>19</v>
      </c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</row>
    <row r="1000" spans="1:14" ht="13.2">
      <c r="A1000" s="42">
        <v>45876</v>
      </c>
      <c r="B1000" s="10">
        <v>13.5</v>
      </c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</row>
    <row r="1001" spans="1:14" ht="13.2">
      <c r="A1001" s="42">
        <v>45876</v>
      </c>
      <c r="B1001" s="10">
        <v>11.6</v>
      </c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</row>
    <row r="1002" spans="1:14" ht="13.2">
      <c r="A1002" s="42">
        <v>45877</v>
      </c>
      <c r="B1002" s="10">
        <v>5</v>
      </c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</row>
    <row r="1003" spans="1:14" ht="13.2">
      <c r="A1003" s="42">
        <v>45877</v>
      </c>
      <c r="B1003" s="10">
        <v>6</v>
      </c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</row>
    <row r="1004" spans="1:14" ht="13.2">
      <c r="A1004" s="42">
        <v>45877</v>
      </c>
      <c r="B1004" s="10">
        <v>8</v>
      </c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</row>
    <row r="1005" spans="1:14" ht="13.2">
      <c r="A1005" s="42">
        <v>45877</v>
      </c>
      <c r="B1005" s="10">
        <v>11.5</v>
      </c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</row>
    <row r="1006" spans="1:14" ht="13.2">
      <c r="A1006" s="42">
        <v>45877</v>
      </c>
      <c r="B1006" s="10">
        <v>6</v>
      </c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</row>
    <row r="1007" spans="1:14" ht="13.2">
      <c r="A1007" s="42">
        <v>45877</v>
      </c>
      <c r="B1007" s="10">
        <v>13.9</v>
      </c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</row>
    <row r="1008" spans="1:14" ht="13.2">
      <c r="A1008" s="42">
        <v>45877</v>
      </c>
      <c r="B1008" s="10">
        <v>6.9</v>
      </c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</row>
    <row r="1009" spans="1:14" ht="13.2">
      <c r="A1009" s="42">
        <v>45877</v>
      </c>
      <c r="B1009" s="10">
        <v>15.7</v>
      </c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</row>
    <row r="1010" spans="1:14" ht="13.2">
      <c r="A1010" s="42">
        <v>45880</v>
      </c>
      <c r="B1010" s="10">
        <v>14</v>
      </c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</row>
    <row r="1011" spans="1:14" ht="13.2">
      <c r="A1011" s="42">
        <v>45880</v>
      </c>
      <c r="B1011" s="10">
        <v>14</v>
      </c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</row>
    <row r="1012" spans="1:14" ht="13.2">
      <c r="A1012" s="42">
        <v>45881</v>
      </c>
      <c r="B1012" s="10">
        <v>39</v>
      </c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</row>
    <row r="1013" spans="1:14" ht="13.2">
      <c r="A1013" s="42">
        <v>45881</v>
      </c>
      <c r="B1013" s="10">
        <v>17</v>
      </c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</row>
    <row r="1014" spans="1:14" ht="13.2">
      <c r="A1014" s="42">
        <v>45881</v>
      </c>
      <c r="B1014" s="10">
        <v>25</v>
      </c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</row>
    <row r="1015" spans="1:14" ht="13.2">
      <c r="A1015" s="42">
        <v>45881</v>
      </c>
      <c r="B1015" s="10">
        <v>24.5</v>
      </c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</row>
    <row r="1016" spans="1:14" ht="13.2">
      <c r="A1016" s="42">
        <v>45881</v>
      </c>
      <c r="B1016" s="10">
        <v>26</v>
      </c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</row>
    <row r="1017" spans="1:14" ht="13.2">
      <c r="A1017" s="42">
        <v>45882</v>
      </c>
      <c r="B1017" s="10">
        <v>15.7</v>
      </c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</row>
    <row r="1018" spans="1:14" ht="13.2">
      <c r="A1018" s="42">
        <v>45882</v>
      </c>
      <c r="B1018" s="10">
        <v>7</v>
      </c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</row>
    <row r="1019" spans="1:14" ht="13.2">
      <c r="A1019" s="42">
        <v>45882</v>
      </c>
      <c r="B1019" s="10">
        <v>7</v>
      </c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</row>
    <row r="1020" spans="1:14" ht="13.2">
      <c r="A1020" s="42">
        <v>45882</v>
      </c>
      <c r="B1020" s="10">
        <v>15.6</v>
      </c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</row>
    <row r="1021" spans="1:14" ht="13.2">
      <c r="A1021" s="42">
        <v>45882</v>
      </c>
      <c r="B1021" s="10">
        <v>13.5</v>
      </c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</row>
    <row r="1022" spans="1:14" ht="13.2">
      <c r="A1022" s="42">
        <v>45882</v>
      </c>
      <c r="B1022" s="10">
        <v>13</v>
      </c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</row>
    <row r="1023" spans="1:14" ht="13.2">
      <c r="A1023" s="42">
        <v>45883</v>
      </c>
      <c r="B1023" s="10">
        <v>71.5</v>
      </c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</row>
    <row r="1024" spans="1:14" ht="13.2">
      <c r="A1024" s="42">
        <v>45883</v>
      </c>
      <c r="B1024" s="10">
        <v>70</v>
      </c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</row>
    <row r="1025" spans="1:14" ht="13.2">
      <c r="A1025" s="42">
        <v>45884</v>
      </c>
      <c r="B1025" s="10">
        <v>14</v>
      </c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</row>
    <row r="1026" spans="1:14" ht="13.2">
      <c r="A1026" s="42">
        <v>45884</v>
      </c>
      <c r="B1026" s="10">
        <v>10.199999999999999</v>
      </c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</row>
    <row r="1027" spans="1:14" ht="13.2">
      <c r="A1027" s="42">
        <v>45884</v>
      </c>
      <c r="B1027" s="10">
        <v>8</v>
      </c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</row>
    <row r="1028" spans="1:14" ht="13.2">
      <c r="A1028" s="42">
        <v>45884</v>
      </c>
      <c r="B1028" s="10">
        <v>8</v>
      </c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</row>
    <row r="1029" spans="1:14" ht="13.2">
      <c r="A1029" s="42">
        <v>45884</v>
      </c>
      <c r="B1029" s="10">
        <v>8</v>
      </c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</row>
    <row r="1030" spans="1:14" ht="13.2">
      <c r="A1030" s="42">
        <v>45884</v>
      </c>
      <c r="B1030" s="10">
        <v>13.9</v>
      </c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</row>
    <row r="1031" spans="1:14" ht="13.2">
      <c r="A1031" s="42">
        <v>45884</v>
      </c>
      <c r="B1031" s="10">
        <v>9</v>
      </c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</row>
    <row r="1032" spans="1:14" ht="13.2">
      <c r="A1032" s="42">
        <v>45884</v>
      </c>
      <c r="B1032" s="10">
        <v>14</v>
      </c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</row>
    <row r="1033" spans="1:14" ht="13.2">
      <c r="A1033" s="42">
        <v>45884</v>
      </c>
      <c r="B1033" s="10">
        <v>10.5</v>
      </c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</row>
    <row r="1034" spans="1:14" ht="13.2">
      <c r="A1034" s="42">
        <v>45885</v>
      </c>
      <c r="B1034" s="21">
        <v>18</v>
      </c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</row>
    <row r="1035" spans="1:14" ht="13.2">
      <c r="A1035" s="42">
        <v>45885</v>
      </c>
      <c r="B1035" s="10">
        <v>7.1</v>
      </c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</row>
    <row r="1036" spans="1:14" ht="13.2">
      <c r="A1036" s="42">
        <v>45885</v>
      </c>
      <c r="B1036" s="10">
        <v>11.6</v>
      </c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</row>
    <row r="1037" spans="1:14" ht="13.2">
      <c r="A1037" s="42">
        <v>45885</v>
      </c>
      <c r="B1037" s="10">
        <v>18</v>
      </c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</row>
    <row r="1038" spans="1:14" ht="13.2">
      <c r="A1038" s="42">
        <v>45885</v>
      </c>
      <c r="B1038" s="10">
        <v>15</v>
      </c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</row>
    <row r="1039" spans="1:14" ht="13.2">
      <c r="A1039" s="42">
        <v>45885</v>
      </c>
      <c r="B1039" s="10">
        <v>23</v>
      </c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</row>
    <row r="1040" spans="1:14" ht="13.2">
      <c r="A1040" s="42">
        <v>45887</v>
      </c>
      <c r="B1040" s="10">
        <v>7</v>
      </c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</row>
    <row r="1041" spans="1:14" ht="13.2">
      <c r="A1041" s="42">
        <v>45887</v>
      </c>
      <c r="B1041" s="10">
        <v>9</v>
      </c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</row>
    <row r="1042" spans="1:14" ht="13.2">
      <c r="A1042" s="42">
        <v>45887</v>
      </c>
      <c r="B1042" s="10">
        <v>14.5</v>
      </c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</row>
    <row r="1043" spans="1:14" ht="13.2">
      <c r="A1043" s="42">
        <v>45887</v>
      </c>
      <c r="B1043" s="10">
        <v>13</v>
      </c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</row>
    <row r="1044" spans="1:14" ht="13.2">
      <c r="A1044" s="42">
        <v>45887</v>
      </c>
      <c r="B1044" s="10">
        <v>10</v>
      </c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</row>
    <row r="1045" spans="1:14" ht="13.2">
      <c r="A1045" s="42">
        <v>45887</v>
      </c>
      <c r="B1045" s="10">
        <v>13.5</v>
      </c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</row>
    <row r="1046" spans="1:14" ht="13.2">
      <c r="A1046" s="42">
        <v>45887</v>
      </c>
      <c r="B1046" s="10">
        <v>21</v>
      </c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</row>
    <row r="1047" spans="1:14" ht="13.2">
      <c r="A1047" s="42">
        <v>45888</v>
      </c>
      <c r="B1047" s="10">
        <v>16</v>
      </c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</row>
    <row r="1048" spans="1:14" ht="13.2">
      <c r="A1048" s="42">
        <v>45888</v>
      </c>
      <c r="B1048" s="10">
        <v>27</v>
      </c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</row>
    <row r="1049" spans="1:14" ht="13.2">
      <c r="A1049" s="42">
        <v>45888</v>
      </c>
      <c r="B1049" s="10">
        <v>23.5</v>
      </c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</row>
    <row r="1050" spans="1:14" ht="13.2">
      <c r="A1050" s="42">
        <v>45888</v>
      </c>
      <c r="B1050" s="10">
        <v>6.3</v>
      </c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</row>
    <row r="1051" spans="1:14" ht="13.2">
      <c r="A1051" s="42">
        <v>45888</v>
      </c>
      <c r="B1051" s="10">
        <v>14</v>
      </c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</row>
    <row r="1052" spans="1:14" ht="13.2">
      <c r="A1052" s="42">
        <v>45888</v>
      </c>
      <c r="B1052" s="10">
        <v>7.5</v>
      </c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</row>
    <row r="1053" spans="1:14" ht="13.2">
      <c r="A1053" s="42">
        <v>45888</v>
      </c>
      <c r="B1053" s="10">
        <v>22</v>
      </c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</row>
    <row r="1054" spans="1:14" ht="13.2">
      <c r="A1054" s="42">
        <v>45888</v>
      </c>
      <c r="B1054" s="10">
        <v>7.5</v>
      </c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</row>
    <row r="1055" spans="1:14" ht="13.2">
      <c r="A1055" s="42">
        <v>45888</v>
      </c>
      <c r="B1055" s="10">
        <v>20</v>
      </c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</row>
    <row r="1056" spans="1:14" ht="13.2">
      <c r="A1056" s="42">
        <v>45888</v>
      </c>
      <c r="B1056" s="10">
        <v>22</v>
      </c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</row>
    <row r="1057" spans="1:14" ht="13.2">
      <c r="A1057" s="42">
        <v>45889</v>
      </c>
      <c r="B1057" s="10">
        <v>23.5</v>
      </c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</row>
    <row r="1058" spans="1:14" ht="13.2">
      <c r="A1058" s="42">
        <v>45889</v>
      </c>
      <c r="B1058" s="10">
        <v>11.2</v>
      </c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</row>
    <row r="1059" spans="1:14" ht="13.2">
      <c r="A1059" s="42">
        <v>45889</v>
      </c>
      <c r="B1059" s="10">
        <v>5.4</v>
      </c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</row>
    <row r="1060" spans="1:14" ht="13.2">
      <c r="A1060" s="42">
        <v>45889</v>
      </c>
      <c r="B1060" s="10">
        <v>14.5</v>
      </c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</row>
    <row r="1061" spans="1:14" ht="13.2">
      <c r="A1061" s="42">
        <v>45889</v>
      </c>
      <c r="B1061" s="10">
        <v>10</v>
      </c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</row>
    <row r="1062" spans="1:14" ht="13.2">
      <c r="A1062" s="42">
        <v>45889</v>
      </c>
      <c r="B1062" s="10">
        <v>9</v>
      </c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</row>
    <row r="1063" spans="1:14" ht="13.2">
      <c r="A1063" s="42">
        <v>45889</v>
      </c>
      <c r="B1063" s="10">
        <v>7</v>
      </c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</row>
    <row r="1064" spans="1:14" ht="13.2">
      <c r="A1064" s="42">
        <v>45889</v>
      </c>
      <c r="B1064" s="10">
        <v>10</v>
      </c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</row>
    <row r="1065" spans="1:14" ht="13.2">
      <c r="A1065" s="42">
        <v>45889</v>
      </c>
      <c r="B1065" s="10">
        <v>21</v>
      </c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</row>
    <row r="1066" spans="1:14" ht="13.2">
      <c r="A1066" s="42">
        <v>45889</v>
      </c>
      <c r="B1066" s="10">
        <v>13</v>
      </c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</row>
    <row r="1067" spans="1:14" ht="13.2">
      <c r="A1067" s="42">
        <v>45890</v>
      </c>
      <c r="B1067" s="10">
        <v>9</v>
      </c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</row>
    <row r="1068" spans="1:14" ht="13.2">
      <c r="A1068" s="42">
        <v>45890</v>
      </c>
      <c r="B1068" s="10">
        <v>16</v>
      </c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</row>
    <row r="1069" spans="1:14" ht="13.2">
      <c r="A1069" s="42">
        <v>45890</v>
      </c>
      <c r="B1069" s="10">
        <v>12</v>
      </c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</row>
    <row r="1070" spans="1:14" ht="13.2">
      <c r="A1070" s="42">
        <v>45890</v>
      </c>
      <c r="B1070" s="10">
        <v>19.5</v>
      </c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</row>
    <row r="1071" spans="1:14" ht="13.2">
      <c r="A1071" s="42">
        <v>45890</v>
      </c>
      <c r="B1071" s="10">
        <v>8.8000000000000007</v>
      </c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</row>
    <row r="1072" spans="1:14" ht="13.2">
      <c r="A1072" s="42">
        <v>45890</v>
      </c>
      <c r="B1072" s="10">
        <v>4.9000000000000004</v>
      </c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</row>
    <row r="1073" spans="1:14" ht="13.2">
      <c r="A1073" s="42">
        <v>45890</v>
      </c>
      <c r="B1073" s="10">
        <v>9</v>
      </c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</row>
    <row r="1074" spans="1:14" ht="13.2">
      <c r="A1074" s="42">
        <v>45890</v>
      </c>
      <c r="B1074" s="10">
        <v>14</v>
      </c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</row>
    <row r="1075" spans="1:14" ht="13.2">
      <c r="A1075" s="42">
        <v>45890</v>
      </c>
      <c r="B1075" s="10">
        <v>5.3</v>
      </c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</row>
    <row r="1076" spans="1:14" ht="13.2">
      <c r="A1076" s="42">
        <v>45890</v>
      </c>
      <c r="B1076" s="10">
        <v>16</v>
      </c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</row>
    <row r="1077" spans="1:14" ht="13.2">
      <c r="A1077" s="42">
        <v>45890</v>
      </c>
      <c r="B1077" s="10">
        <v>27.5</v>
      </c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</row>
    <row r="1078" spans="1:14" ht="13.2">
      <c r="A1078" s="42">
        <v>45890</v>
      </c>
      <c r="B1078" s="10">
        <v>25</v>
      </c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</row>
    <row r="1079" spans="1:14" ht="13.2">
      <c r="A1079" s="42">
        <v>45891</v>
      </c>
      <c r="B1079" s="10">
        <v>10</v>
      </c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</row>
    <row r="1080" spans="1:14" ht="13.2">
      <c r="A1080" s="42">
        <v>45891</v>
      </c>
      <c r="B1080" s="10">
        <v>20</v>
      </c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</row>
    <row r="1081" spans="1:14" ht="13.2">
      <c r="A1081" s="42">
        <v>45891</v>
      </c>
      <c r="B1081" s="10">
        <v>14</v>
      </c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</row>
    <row r="1082" spans="1:14" ht="13.2">
      <c r="A1082" s="42">
        <v>45891</v>
      </c>
      <c r="B1082" s="10">
        <v>17</v>
      </c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</row>
    <row r="1083" spans="1:14" ht="13.2">
      <c r="A1083" s="42">
        <v>45891</v>
      </c>
      <c r="B1083" s="21">
        <v>18</v>
      </c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</row>
    <row r="1084" spans="1:14" ht="13.2">
      <c r="A1084" s="42">
        <v>45891</v>
      </c>
      <c r="B1084" s="10">
        <v>15</v>
      </c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</row>
    <row r="1085" spans="1:14" ht="13.2">
      <c r="A1085" s="42">
        <v>45891</v>
      </c>
      <c r="B1085" s="10">
        <v>21.3</v>
      </c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</row>
    <row r="1086" spans="1:14" ht="13.2">
      <c r="A1086" s="42">
        <v>45891</v>
      </c>
      <c r="B1086" s="10">
        <v>21</v>
      </c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</row>
    <row r="1087" spans="1:14" ht="13.2">
      <c r="A1087" s="42">
        <v>45891</v>
      </c>
      <c r="B1087" s="10">
        <v>16.5</v>
      </c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</row>
    <row r="1088" spans="1:14" ht="13.2">
      <c r="A1088" s="42">
        <v>45891</v>
      </c>
      <c r="B1088" s="10">
        <v>10</v>
      </c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</row>
    <row r="1089" spans="1:14" ht="13.2">
      <c r="A1089" s="42">
        <v>45892</v>
      </c>
      <c r="B1089" s="10">
        <v>24</v>
      </c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</row>
    <row r="1090" spans="1:14" ht="13.2">
      <c r="A1090" s="42">
        <v>45892</v>
      </c>
      <c r="B1090" s="10">
        <v>16.5</v>
      </c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</row>
    <row r="1091" spans="1:14" ht="13.2">
      <c r="A1091" s="42">
        <v>45892</v>
      </c>
      <c r="B1091" s="10">
        <v>13</v>
      </c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</row>
    <row r="1092" spans="1:14" ht="13.2">
      <c r="A1092" s="42">
        <v>45892</v>
      </c>
      <c r="B1092" s="10">
        <v>7.5</v>
      </c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</row>
    <row r="1093" spans="1:14" ht="13.2">
      <c r="A1093" s="42">
        <v>45892</v>
      </c>
      <c r="B1093" s="10">
        <v>12.5</v>
      </c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</row>
    <row r="1094" spans="1:14" ht="13.2">
      <c r="A1094" s="42">
        <v>45892</v>
      </c>
      <c r="B1094" s="10">
        <v>36.5</v>
      </c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</row>
    <row r="1095" spans="1:14" ht="13.2">
      <c r="A1095" s="42">
        <v>45894</v>
      </c>
      <c r="B1095" s="10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</row>
    <row r="1096" spans="1:14" ht="13.2">
      <c r="A1096" s="42">
        <v>45894</v>
      </c>
      <c r="B1096" s="10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</row>
    <row r="1097" spans="1:14" ht="13.2">
      <c r="A1097" s="42">
        <v>45895</v>
      </c>
      <c r="B1097" s="10">
        <v>21.5</v>
      </c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</row>
    <row r="1098" spans="1:14" ht="13.2">
      <c r="A1098" s="42">
        <v>45895</v>
      </c>
      <c r="B1098" s="10">
        <v>15</v>
      </c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</row>
    <row r="1099" spans="1:14" ht="13.2">
      <c r="A1099" s="42">
        <v>45895</v>
      </c>
      <c r="B1099" s="10">
        <v>12</v>
      </c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</row>
    <row r="1100" spans="1:14" ht="13.2">
      <c r="A1100" s="42">
        <v>45895</v>
      </c>
      <c r="B1100" s="10">
        <v>15</v>
      </c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</row>
    <row r="1101" spans="1:14" ht="13.2">
      <c r="A1101" s="42">
        <v>45895</v>
      </c>
      <c r="B1101" s="10">
        <v>22</v>
      </c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</row>
    <row r="1102" spans="1:14" ht="13.2">
      <c r="A1102" s="42">
        <v>45895</v>
      </c>
      <c r="B1102" s="10">
        <v>13.5</v>
      </c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</row>
    <row r="1103" spans="1:14" ht="13.2">
      <c r="A1103" s="42">
        <v>45895</v>
      </c>
      <c r="B1103" s="10">
        <v>22</v>
      </c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</row>
    <row r="1104" spans="1:14" ht="13.2">
      <c r="A1104" s="42">
        <v>45895</v>
      </c>
      <c r="B1104" s="10">
        <v>13</v>
      </c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</row>
    <row r="1105" spans="1:14" ht="13.2">
      <c r="A1105" s="42">
        <v>45895</v>
      </c>
      <c r="B1105" s="10">
        <v>16</v>
      </c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</row>
    <row r="1106" spans="1:14" ht="13.2">
      <c r="A1106" s="42">
        <v>45896</v>
      </c>
      <c r="B1106" s="10">
        <v>26.5</v>
      </c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</row>
    <row r="1107" spans="1:14" ht="13.2">
      <c r="A1107" s="42">
        <v>45896</v>
      </c>
      <c r="B1107" s="10">
        <v>34</v>
      </c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</row>
    <row r="1108" spans="1:14" ht="13.2">
      <c r="A1108" s="42">
        <v>45896</v>
      </c>
      <c r="B1108" s="10">
        <v>14.5</v>
      </c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</row>
    <row r="1109" spans="1:14" ht="13.2">
      <c r="A1109" s="42">
        <v>45896</v>
      </c>
      <c r="B1109" s="10">
        <v>15.5</v>
      </c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</row>
    <row r="1110" spans="1:14" ht="13.2">
      <c r="A1110" s="42">
        <v>45896</v>
      </c>
      <c r="B1110" s="10">
        <v>12</v>
      </c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</row>
    <row r="1111" spans="1:14" ht="13.2">
      <c r="A1111" s="42">
        <v>45896</v>
      </c>
      <c r="B1111" s="10">
        <v>19</v>
      </c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</row>
    <row r="1112" spans="1:14" ht="13.2">
      <c r="A1112" s="42">
        <v>45896</v>
      </c>
      <c r="B1112" s="10">
        <v>19</v>
      </c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</row>
    <row r="1113" spans="1:14" ht="13.2">
      <c r="A1113" s="42">
        <v>45896</v>
      </c>
      <c r="B1113" s="10">
        <v>26</v>
      </c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</row>
    <row r="1114" spans="1:14" ht="13.2">
      <c r="A1114" s="42">
        <v>45896</v>
      </c>
      <c r="B1114" s="10">
        <v>12.5</v>
      </c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</row>
    <row r="1115" spans="1:14" ht="13.2">
      <c r="A1115" s="42">
        <v>45897</v>
      </c>
      <c r="B1115" s="10">
        <v>10</v>
      </c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</row>
    <row r="1116" spans="1:14" ht="13.2">
      <c r="A1116" s="42">
        <v>45897</v>
      </c>
      <c r="B1116" s="10">
        <v>12.5</v>
      </c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</row>
    <row r="1117" spans="1:14" ht="13.2">
      <c r="A1117" s="42">
        <v>45897</v>
      </c>
      <c r="B1117" s="10">
        <v>10</v>
      </c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</row>
    <row r="1118" spans="1:14" ht="13.2">
      <c r="A1118" s="42">
        <v>45897</v>
      </c>
      <c r="B1118" s="10">
        <v>11.5</v>
      </c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</row>
    <row r="1119" spans="1:14" ht="13.2">
      <c r="A1119" s="42">
        <v>45897</v>
      </c>
      <c r="B1119" s="10">
        <v>15</v>
      </c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</row>
    <row r="1120" spans="1:14" ht="13.2">
      <c r="A1120" s="42">
        <v>45897</v>
      </c>
      <c r="B1120" s="10">
        <v>17</v>
      </c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</row>
    <row r="1121" spans="1:14" ht="13.2">
      <c r="A1121" s="42">
        <v>45898</v>
      </c>
      <c r="B1121" s="10">
        <v>17</v>
      </c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</row>
    <row r="1122" spans="1:14" ht="13.2">
      <c r="A1122" s="42">
        <v>45898</v>
      </c>
      <c r="B1122" s="10">
        <v>8</v>
      </c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</row>
    <row r="1123" spans="1:14" ht="13.2">
      <c r="A1123" s="42">
        <v>45899</v>
      </c>
      <c r="B1123" s="10">
        <v>15</v>
      </c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</row>
    <row r="1124" spans="1:14" ht="13.2">
      <c r="A1124" s="42">
        <v>45899</v>
      </c>
      <c r="B1124" s="10">
        <v>14.5</v>
      </c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</row>
    <row r="1125" spans="1:14" ht="13.2">
      <c r="A1125" s="42">
        <v>45899</v>
      </c>
      <c r="B1125" s="10">
        <v>8</v>
      </c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</row>
    <row r="1126" spans="1:14" ht="13.2">
      <c r="A1126" s="42">
        <v>45899</v>
      </c>
      <c r="B1126" s="10">
        <v>17</v>
      </c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</row>
    <row r="1127" spans="1:14" ht="13.2">
      <c r="A1127" s="42">
        <v>45899</v>
      </c>
      <c r="B1127" s="10">
        <v>13.5</v>
      </c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</row>
    <row r="1128" spans="1:14" ht="13.2">
      <c r="A1128" s="42">
        <v>45899</v>
      </c>
      <c r="B1128" s="10">
        <v>9.5</v>
      </c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</row>
    <row r="1129" spans="1:14" ht="13.2">
      <c r="A1129" s="42">
        <v>45899</v>
      </c>
      <c r="B1129" s="10">
        <v>24.1</v>
      </c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</row>
    <row r="1130" spans="1:14" ht="13.2">
      <c r="A1130" s="42">
        <v>45901</v>
      </c>
      <c r="B1130" s="10">
        <v>31.8</v>
      </c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</row>
    <row r="1131" spans="1:14" ht="13.2">
      <c r="A1131" s="42">
        <v>45901</v>
      </c>
      <c r="B1131" s="10">
        <v>8</v>
      </c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</row>
    <row r="1132" spans="1:14" ht="13.2">
      <c r="A1132" s="42">
        <v>45901</v>
      </c>
      <c r="B1132" s="10">
        <v>25</v>
      </c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</row>
    <row r="1133" spans="1:14" ht="13.2">
      <c r="A1133" s="42">
        <v>45902</v>
      </c>
      <c r="B1133" s="10">
        <v>16</v>
      </c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</row>
    <row r="1134" spans="1:14" ht="13.2">
      <c r="A1134" s="42">
        <v>45902</v>
      </c>
      <c r="B1134" s="10">
        <v>18</v>
      </c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</row>
    <row r="1135" spans="1:14" ht="13.2">
      <c r="A1135" s="42">
        <v>45902</v>
      </c>
      <c r="B1135" s="10">
        <v>15</v>
      </c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</row>
    <row r="1136" spans="1:14" ht="13.2">
      <c r="A1136" s="42">
        <v>45902</v>
      </c>
      <c r="B1136" s="10">
        <v>30</v>
      </c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</row>
    <row r="1137" spans="1:14" ht="13.2">
      <c r="A1137" s="42">
        <v>45902</v>
      </c>
      <c r="B1137" s="10">
        <v>19.5</v>
      </c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</row>
    <row r="1138" spans="1:14" ht="13.2">
      <c r="A1138" s="42">
        <v>45902</v>
      </c>
      <c r="B1138" s="10">
        <v>20</v>
      </c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</row>
    <row r="1139" spans="1:14" ht="13.2">
      <c r="A1139" s="42">
        <v>45902</v>
      </c>
      <c r="B1139" s="10">
        <v>13.8</v>
      </c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</row>
    <row r="1140" spans="1:14" ht="13.2">
      <c r="A1140" s="42">
        <v>45902</v>
      </c>
      <c r="B1140" s="10">
        <v>13</v>
      </c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</row>
    <row r="1141" spans="1:14" ht="13.2">
      <c r="A1141" s="42">
        <v>45902</v>
      </c>
      <c r="B1141" s="10">
        <v>25</v>
      </c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</row>
    <row r="1142" spans="1:14" ht="13.2">
      <c r="A1142" s="42">
        <v>45902</v>
      </c>
      <c r="B1142" s="10">
        <v>36.5</v>
      </c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</row>
    <row r="1143" spans="1:14" ht="13.2">
      <c r="A1143" s="42">
        <v>45903</v>
      </c>
      <c r="B1143" s="10">
        <v>8</v>
      </c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</row>
    <row r="1144" spans="1:14" ht="13.2">
      <c r="A1144" s="42">
        <v>45903</v>
      </c>
      <c r="B1144" s="10">
        <v>19</v>
      </c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</row>
    <row r="1145" spans="1:14" ht="13.2">
      <c r="A1145" s="42">
        <v>45903</v>
      </c>
      <c r="B1145" s="10">
        <v>10</v>
      </c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</row>
    <row r="1146" spans="1:14" ht="13.2">
      <c r="A1146" s="42">
        <v>45903</v>
      </c>
      <c r="B1146" s="10">
        <v>5</v>
      </c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</row>
    <row r="1147" spans="1:14" ht="13.2">
      <c r="A1147" s="42">
        <v>45903</v>
      </c>
      <c r="B1147" s="10">
        <v>12.5</v>
      </c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</row>
    <row r="1148" spans="1:14" ht="13.2">
      <c r="A1148" s="42">
        <v>45903</v>
      </c>
      <c r="B1148" s="10">
        <v>15</v>
      </c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</row>
    <row r="1149" spans="1:14" ht="13.2">
      <c r="A1149" s="42">
        <v>45903</v>
      </c>
      <c r="B1149" s="10">
        <v>20.5</v>
      </c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</row>
    <row r="1150" spans="1:14" ht="13.2">
      <c r="A1150" s="42">
        <v>45903</v>
      </c>
      <c r="B1150" s="10">
        <v>23</v>
      </c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</row>
    <row r="1151" spans="1:14" ht="13.2">
      <c r="A1151" s="42">
        <v>45903</v>
      </c>
      <c r="B1151" s="10">
        <v>27.5</v>
      </c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</row>
    <row r="1152" spans="1:14" ht="13.2">
      <c r="A1152" s="42">
        <v>45903</v>
      </c>
      <c r="B1152" s="10">
        <v>10</v>
      </c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</row>
    <row r="1153" spans="1:14" ht="13.2">
      <c r="A1153" s="42">
        <v>45903</v>
      </c>
      <c r="B1153" s="10">
        <v>33</v>
      </c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</row>
    <row r="1154" spans="1:14" ht="13.2">
      <c r="A1154" s="42">
        <v>45904</v>
      </c>
      <c r="B1154" s="10">
        <v>25.6</v>
      </c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</row>
    <row r="1155" spans="1:14" ht="13.2">
      <c r="A1155" s="42">
        <v>45904</v>
      </c>
      <c r="B1155" s="10">
        <v>25</v>
      </c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</row>
    <row r="1156" spans="1:14" ht="13.2">
      <c r="A1156" s="42">
        <v>45904</v>
      </c>
      <c r="B1156" s="10">
        <v>32</v>
      </c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</row>
    <row r="1157" spans="1:14" ht="13.2">
      <c r="A1157" s="42">
        <v>45905</v>
      </c>
      <c r="B1157" s="10">
        <v>15</v>
      </c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</row>
    <row r="1158" spans="1:14" ht="13.2">
      <c r="A1158" s="42">
        <v>45905</v>
      </c>
      <c r="B1158" s="10">
        <v>12</v>
      </c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</row>
    <row r="1159" spans="1:14" ht="13.2">
      <c r="A1159" s="42">
        <v>45905</v>
      </c>
      <c r="B1159" s="10">
        <v>17.2</v>
      </c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</row>
    <row r="1160" spans="1:14" ht="13.2">
      <c r="A1160" s="42">
        <v>45905</v>
      </c>
      <c r="B1160" s="10">
        <v>10</v>
      </c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</row>
    <row r="1161" spans="1:14" ht="13.2">
      <c r="A1161" s="42">
        <v>45905</v>
      </c>
      <c r="B1161" s="10">
        <v>17</v>
      </c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</row>
    <row r="1162" spans="1:14" ht="13.2">
      <c r="A1162" s="42">
        <v>45905</v>
      </c>
      <c r="B1162" s="10">
        <v>16.5</v>
      </c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</row>
    <row r="1163" spans="1:14" ht="13.2">
      <c r="A1163" s="42">
        <v>45905</v>
      </c>
      <c r="B1163" s="10">
        <v>8.5</v>
      </c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</row>
    <row r="1164" spans="1:14" ht="13.2">
      <c r="A1164" s="42">
        <v>45905</v>
      </c>
      <c r="B1164" s="10">
        <v>20</v>
      </c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</row>
    <row r="1165" spans="1:14" ht="13.2">
      <c r="A1165" s="42">
        <v>45905</v>
      </c>
      <c r="B1165" s="21">
        <v>24.5</v>
      </c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</row>
    <row r="1166" spans="1:14" ht="13.2">
      <c r="A1166" s="42">
        <v>45906</v>
      </c>
      <c r="B1166" s="10">
        <v>25</v>
      </c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</row>
    <row r="1167" spans="1:14" ht="13.2">
      <c r="A1167" s="42">
        <v>45906</v>
      </c>
      <c r="B1167" s="10">
        <v>31.5</v>
      </c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</row>
    <row r="1168" spans="1:14" ht="13.2">
      <c r="A1168" s="42">
        <v>45908</v>
      </c>
      <c r="B1168" s="10">
        <v>20</v>
      </c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</row>
    <row r="1169" spans="1:14" ht="13.2">
      <c r="A1169" s="42">
        <v>45908</v>
      </c>
      <c r="B1169" s="10">
        <v>22</v>
      </c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</row>
    <row r="1170" spans="1:14" ht="13.2">
      <c r="A1170" s="42">
        <v>45908</v>
      </c>
      <c r="B1170" s="10">
        <v>12</v>
      </c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</row>
    <row r="1171" spans="1:14" ht="13.2">
      <c r="A1171" s="42">
        <v>45908</v>
      </c>
      <c r="B1171" s="10">
        <v>18.5</v>
      </c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</row>
    <row r="1172" spans="1:14" ht="13.2">
      <c r="A1172" s="42">
        <v>45909</v>
      </c>
      <c r="B1172" s="10">
        <v>18</v>
      </c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</row>
    <row r="1173" spans="1:14" ht="13.2">
      <c r="A1173" s="42">
        <v>45909</v>
      </c>
      <c r="B1173" s="10">
        <v>12</v>
      </c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</row>
    <row r="1174" spans="1:14" ht="13.2">
      <c r="A1174" s="42">
        <v>45909</v>
      </c>
      <c r="B1174" s="10">
        <v>16</v>
      </c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</row>
    <row r="1175" spans="1:14" ht="13.2">
      <c r="A1175" s="42">
        <v>45909</v>
      </c>
      <c r="B1175" s="10">
        <v>17</v>
      </c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</row>
    <row r="1176" spans="1:14" ht="13.2">
      <c r="A1176" s="42">
        <v>45909</v>
      </c>
      <c r="B1176" s="10">
        <v>10</v>
      </c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</row>
    <row r="1177" spans="1:14" ht="13.2">
      <c r="A1177" s="42">
        <v>45909</v>
      </c>
      <c r="B1177" s="10">
        <v>18</v>
      </c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</row>
    <row r="1178" spans="1:14" ht="13.2">
      <c r="A1178" s="42">
        <v>45910</v>
      </c>
      <c r="B1178" s="10">
        <v>14.5</v>
      </c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</row>
    <row r="1179" spans="1:14" ht="13.2">
      <c r="A1179" s="42">
        <v>45910</v>
      </c>
      <c r="B1179" s="10">
        <v>12</v>
      </c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</row>
    <row r="1180" spans="1:14" ht="13.2">
      <c r="A1180" s="42">
        <v>45910</v>
      </c>
      <c r="B1180" s="10">
        <v>12.5</v>
      </c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</row>
    <row r="1181" spans="1:14" ht="13.2">
      <c r="A1181" s="42">
        <v>45910</v>
      </c>
      <c r="B1181" s="10">
        <v>8</v>
      </c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</row>
    <row r="1182" spans="1:14" ht="13.2">
      <c r="A1182" s="42">
        <v>45910</v>
      </c>
      <c r="B1182" s="10">
        <v>16</v>
      </c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</row>
    <row r="1183" spans="1:14" ht="13.2">
      <c r="A1183" s="42">
        <v>45911</v>
      </c>
      <c r="B1183" s="10">
        <v>10</v>
      </c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</row>
    <row r="1184" spans="1:14" ht="13.2">
      <c r="A1184" s="42">
        <v>45911</v>
      </c>
      <c r="B1184" s="10">
        <v>22</v>
      </c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</row>
    <row r="1185" spans="1:14" ht="13.2">
      <c r="A1185" s="42">
        <v>45911</v>
      </c>
      <c r="B1185" s="10">
        <v>19</v>
      </c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</row>
    <row r="1186" spans="1:14" ht="13.2">
      <c r="A1186" s="42">
        <v>45911</v>
      </c>
      <c r="B1186" s="10">
        <v>12</v>
      </c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</row>
    <row r="1187" spans="1:14" ht="13.2">
      <c r="A1187" s="42">
        <v>45911</v>
      </c>
      <c r="B1187" s="10">
        <v>23</v>
      </c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</row>
    <row r="1188" spans="1:14" ht="13.2">
      <c r="A1188" s="42">
        <v>45911</v>
      </c>
      <c r="B1188" s="10">
        <v>12</v>
      </c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</row>
    <row r="1189" spans="1:14" ht="13.2">
      <c r="A1189" s="42">
        <v>45911</v>
      </c>
      <c r="B1189" s="10">
        <v>15</v>
      </c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</row>
    <row r="1190" spans="1:14" ht="13.2">
      <c r="A1190" s="42">
        <v>45911</v>
      </c>
      <c r="B1190" s="10">
        <v>24</v>
      </c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</row>
    <row r="1191" spans="1:14" ht="13.2">
      <c r="A1191" s="42">
        <v>45911</v>
      </c>
      <c r="B1191" s="10">
        <v>12</v>
      </c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</row>
    <row r="1192" spans="1:14" ht="13.2">
      <c r="A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</row>
    <row r="1193" spans="1:14" ht="13.2">
      <c r="A1193" s="2"/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</row>
    <row r="1194" spans="1:14" ht="13.2">
      <c r="A1194" s="2"/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</row>
    <row r="1195" spans="1:14" ht="13.2">
      <c r="A1195" s="2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</row>
    <row r="1196" spans="1:14" ht="13.2">
      <c r="A1196" s="2"/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</row>
    <row r="1197" spans="1:14" ht="13.2">
      <c r="A1197" s="2"/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</row>
    <row r="1198" spans="1:14" ht="13.2">
      <c r="A1198" s="2"/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</row>
    <row r="1199" spans="1:14" ht="13.2">
      <c r="A1199" s="2"/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</row>
    <row r="1200" spans="1:14" ht="13.2">
      <c r="A1200" s="2"/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</row>
    <row r="1201" spans="1:14" ht="13.2">
      <c r="A1201" s="2"/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</row>
    <row r="1202" spans="1:14" ht="13.2">
      <c r="A1202" s="2"/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</row>
    <row r="1203" spans="1:14" ht="13.2">
      <c r="A1203" s="2"/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</row>
    <row r="1204" spans="1:14" ht="13.2">
      <c r="A1204" s="2"/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</row>
    <row r="1205" spans="1:14" ht="13.2">
      <c r="A1205" s="2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</row>
    <row r="1206" spans="1:14" ht="13.2">
      <c r="A1206" s="2"/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</row>
    <row r="1207" spans="1:14" ht="13.2">
      <c r="A1207" s="2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</row>
    <row r="1208" spans="1:14" ht="13.2">
      <c r="A1208" s="2"/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</row>
    <row r="1209" spans="1:14" ht="13.2">
      <c r="A1209" s="2"/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</row>
    <row r="1210" spans="1:14" ht="13.2">
      <c r="A1210" s="2"/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</row>
    <row r="1211" spans="1:14" ht="13.2">
      <c r="A1211" s="2"/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</row>
    <row r="1212" spans="1:14" ht="13.2">
      <c r="A1212" s="2"/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</row>
    <row r="1213" spans="1:14" ht="13.2">
      <c r="A1213" s="2"/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</row>
    <row r="1214" spans="1:14" ht="13.2">
      <c r="A1214" s="2"/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</row>
    <row r="1215" spans="1:14" ht="13.2">
      <c r="A1215" s="2"/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</row>
    <row r="1216" spans="1:14" ht="13.2">
      <c r="A1216" s="2"/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</row>
    <row r="1217" spans="1:14" ht="13.2">
      <c r="A1217" s="2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</row>
    <row r="1218" spans="1:14" ht="13.2">
      <c r="A1218" s="2"/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</row>
    <row r="1219" spans="1:14" ht="13.2">
      <c r="A1219" s="2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</row>
    <row r="1220" spans="1:14" ht="13.2">
      <c r="A1220" s="2"/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</row>
    <row r="1221" spans="1:14" ht="13.2">
      <c r="A1221" s="2"/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</row>
    <row r="1222" spans="1:14" ht="13.2">
      <c r="A1222" s="2"/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</row>
    <row r="1223" spans="1:14" ht="13.2">
      <c r="A1223" s="2"/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</row>
    <row r="1224" spans="1:14" ht="13.2">
      <c r="A1224" s="2"/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</row>
    <row r="1225" spans="1:14" ht="13.2">
      <c r="A1225" s="2"/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</row>
    <row r="1226" spans="1:14" ht="13.2">
      <c r="A1226" s="2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</row>
    <row r="1227" spans="1:14" ht="13.2">
      <c r="A1227" s="2"/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</row>
    <row r="1228" spans="1:14" ht="13.2">
      <c r="A1228" s="2"/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</row>
    <row r="1229" spans="1:14" ht="13.2">
      <c r="A1229" s="2"/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</row>
    <row r="1230" spans="1:14" ht="13.2">
      <c r="A1230" s="2"/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</row>
    <row r="1231" spans="1:14" ht="13.2">
      <c r="A1231" s="2"/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</row>
    <row r="1232" spans="1:14" ht="13.2">
      <c r="A1232" s="2"/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</row>
    <row r="1233" spans="1:14" ht="13.2">
      <c r="A1233" s="2"/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</row>
    <row r="1234" spans="1:14" ht="13.2">
      <c r="A1234" s="2"/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</row>
    <row r="1235" spans="1:14" ht="13.2">
      <c r="A1235" s="2"/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</row>
    <row r="1236" spans="1:14" ht="13.2">
      <c r="A1236" s="2"/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</row>
    <row r="1237" spans="1:14" ht="13.2">
      <c r="A1237" s="2"/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</row>
    <row r="1238" spans="1:14" ht="13.2">
      <c r="A1238" s="2"/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</row>
    <row r="1239" spans="1:14" ht="13.2">
      <c r="A1239" s="2"/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</row>
    <row r="1240" spans="1:14" ht="13.2">
      <c r="A1240" s="2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</row>
    <row r="1241" spans="1:14" ht="13.2">
      <c r="A1241" s="2"/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</row>
    <row r="1242" spans="1:14" ht="13.2">
      <c r="A1242" s="2"/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</row>
    <row r="1243" spans="1:14" ht="13.2">
      <c r="A1243" s="2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</row>
    <row r="1244" spans="1:14" ht="13.2">
      <c r="A1244" s="2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</row>
    <row r="1245" spans="1:14" ht="13.2">
      <c r="A1245" s="2"/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</row>
    <row r="1246" spans="1:14" ht="13.2">
      <c r="A1246" s="2"/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</row>
    <row r="1247" spans="1:14" ht="13.2">
      <c r="A1247" s="2"/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</row>
    <row r="1248" spans="1:14" ht="13.2">
      <c r="A1248" s="2"/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</row>
    <row r="1249" spans="1:14" ht="13.2">
      <c r="A1249" s="2"/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</row>
    <row r="1250" spans="1:14" ht="13.2">
      <c r="A1250" s="2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</row>
    <row r="1251" spans="1:14" ht="13.2">
      <c r="A1251" s="2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</row>
    <row r="1252" spans="1:14" ht="13.2">
      <c r="A1252" s="2"/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</row>
    <row r="1253" spans="1:14" ht="13.2">
      <c r="A1253" s="2"/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</row>
    <row r="1254" spans="1:14" ht="13.2">
      <c r="A1254" s="2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</row>
    <row r="1255" spans="1:14" ht="13.2">
      <c r="A1255" s="2"/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</row>
    <row r="1256" spans="1:14" ht="13.2">
      <c r="A1256" s="2"/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</row>
    <row r="1257" spans="1:14" ht="13.2">
      <c r="A1257" s="2"/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</row>
    <row r="1258" spans="1:14" ht="13.2">
      <c r="A1258" s="2"/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</row>
    <row r="1259" spans="1:14" ht="13.2">
      <c r="A1259" s="2"/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</row>
    <row r="1260" spans="1:14" ht="13.2">
      <c r="A1260" s="2"/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</row>
    <row r="1261" spans="1:14" ht="13.2">
      <c r="A1261" s="2"/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</row>
    <row r="1262" spans="1:14" ht="13.2">
      <c r="A1262" s="2"/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</row>
    <row r="1263" spans="1:14" ht="13.2">
      <c r="A1263" s="2"/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</row>
    <row r="1264" spans="1:14" ht="13.2">
      <c r="A1264" s="2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</row>
    <row r="1265" spans="1:14" ht="13.2">
      <c r="A1265" s="2"/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</row>
    <row r="1266" spans="1:14" ht="13.2">
      <c r="A1266" s="2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</row>
    <row r="1267" spans="1:14" ht="13.2">
      <c r="A1267" s="2"/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</row>
    <row r="1268" spans="1:14" ht="13.2">
      <c r="A1268" s="2"/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</row>
    <row r="1269" spans="1:14" ht="13.2">
      <c r="A1269" s="2"/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</row>
    <row r="1270" spans="1:14" ht="13.2">
      <c r="A1270" s="2"/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</row>
    <row r="1271" spans="1:14" ht="13.2">
      <c r="A1271" s="2"/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</row>
    <row r="1272" spans="1:14" ht="13.2">
      <c r="A1272" s="2"/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</row>
    <row r="1273" spans="1:14" ht="13.2">
      <c r="A1273" s="2"/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</row>
    <row r="1274" spans="1:14" ht="13.2">
      <c r="A1274" s="2"/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</row>
    <row r="1275" spans="1:14" ht="13.2">
      <c r="A1275" s="2"/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</row>
    <row r="1276" spans="1:14" ht="13.2">
      <c r="A1276" s="2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</row>
    <row r="1277" spans="1:14" ht="13.2">
      <c r="A1277" s="2"/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</row>
    <row r="1278" spans="1:14" ht="13.2">
      <c r="A1278" s="2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</row>
    <row r="1279" spans="1:14" ht="13.2">
      <c r="A1279" s="2"/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</row>
    <row r="1280" spans="1:14" ht="13.2">
      <c r="A1280" s="2"/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</row>
    <row r="1281" spans="1:14" ht="13.2">
      <c r="A1281" s="2"/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</row>
    <row r="1282" spans="1:14" ht="13.2">
      <c r="A1282" s="2"/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</row>
    <row r="1283" spans="1:14" ht="13.2">
      <c r="A1283" s="2"/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</row>
    <row r="1284" spans="1:14" ht="13.2">
      <c r="A1284" s="2"/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</row>
    <row r="1285" spans="1:14" ht="13.2">
      <c r="A1285" s="2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</row>
    <row r="1286" spans="1:14" ht="13.2">
      <c r="A1286" s="2"/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</row>
    <row r="1287" spans="1:14" ht="13.2">
      <c r="A1287" s="2"/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</row>
    <row r="1288" spans="1:14" ht="13.2">
      <c r="A1288" s="2"/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</row>
    <row r="1289" spans="1:14" ht="13.2">
      <c r="A1289" s="2"/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</row>
    <row r="1290" spans="1:14" ht="13.2">
      <c r="A1290" s="2"/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</row>
    <row r="1291" spans="1:14" ht="13.2">
      <c r="A1291" s="2"/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</row>
    <row r="1292" spans="1:14" ht="13.2">
      <c r="A1292" s="2"/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</row>
    <row r="1293" spans="1:14" ht="13.2">
      <c r="A1293" s="2"/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</row>
    <row r="1294" spans="1:14" ht="13.2">
      <c r="A1294" s="2"/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</row>
    <row r="1295" spans="1:14" ht="13.2">
      <c r="A1295" s="2"/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</row>
    <row r="1296" spans="1:14" ht="13.2">
      <c r="A1296" s="2"/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</row>
    <row r="1297" spans="1:14" ht="13.2">
      <c r="A1297" s="2"/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</row>
    <row r="1298" spans="1:14" ht="13.2">
      <c r="A1298" s="2"/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</row>
    <row r="1299" spans="1:14" ht="13.2">
      <c r="A1299" s="2"/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</row>
    <row r="1300" spans="1:14" ht="13.2">
      <c r="A1300" s="2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</row>
    <row r="1301" spans="1:14" ht="13.2">
      <c r="A1301" s="2"/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</row>
    <row r="1302" spans="1:14" ht="13.2">
      <c r="A1302" s="2"/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</row>
    <row r="1303" spans="1:14" ht="13.2">
      <c r="A1303" s="2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</row>
    <row r="1304" spans="1:14" ht="13.2">
      <c r="A1304" s="2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</row>
    <row r="1305" spans="1:14" ht="13.2">
      <c r="A1305" s="2"/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</row>
    <row r="1306" spans="1:14" ht="13.2">
      <c r="A1306" s="2"/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</row>
    <row r="1307" spans="1:14" ht="13.2">
      <c r="A1307" s="2"/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</row>
    <row r="1308" spans="1:14" ht="13.2">
      <c r="A1308" s="2"/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</row>
    <row r="1309" spans="1:14" ht="13.2">
      <c r="A1309" s="2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</row>
    <row r="1310" spans="1:14" ht="13.2">
      <c r="A1310" s="2"/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</row>
    <row r="1311" spans="1:14" ht="13.2">
      <c r="A1311" s="2"/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</row>
    <row r="1312" spans="1:14" ht="13.2">
      <c r="A1312" s="2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</row>
    <row r="1313" spans="1:14" ht="13.2">
      <c r="A1313" s="2"/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</row>
    <row r="1314" spans="1:14" ht="13.2">
      <c r="A1314" s="2"/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</row>
    <row r="1315" spans="1:14" ht="13.2">
      <c r="A1315" s="2"/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</row>
    <row r="1316" spans="1:14" ht="13.2">
      <c r="A1316" s="2"/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</row>
    <row r="1317" spans="1:14" ht="13.2">
      <c r="A1317" s="2"/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</row>
    <row r="1318" spans="1:14" ht="13.2">
      <c r="A1318" s="2"/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</row>
    <row r="1319" spans="1:14" ht="13.2">
      <c r="A1319" s="2"/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</row>
    <row r="1320" spans="1:14" ht="13.2">
      <c r="A1320" s="2"/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</row>
    <row r="1321" spans="1:14" ht="13.2">
      <c r="A1321" s="2"/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</row>
    <row r="1322" spans="1:14" ht="13.2">
      <c r="A1322" s="2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</row>
    <row r="1323" spans="1:14" ht="13.2">
      <c r="A1323" s="2"/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</row>
    <row r="1324" spans="1:14" ht="13.2">
      <c r="A1324" s="2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</row>
    <row r="1325" spans="1:14" ht="13.2">
      <c r="A1325" s="2"/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</row>
    <row r="1326" spans="1:14" ht="13.2">
      <c r="A1326" s="2"/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</row>
    <row r="1327" spans="1:14" ht="13.2">
      <c r="A1327" s="2"/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</row>
    <row r="1328" spans="1:14" ht="13.2">
      <c r="A1328" s="2"/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</row>
    <row r="1329" spans="1:14" ht="13.2">
      <c r="A1329" s="2"/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</row>
    <row r="1330" spans="1:14" ht="13.2">
      <c r="A1330" s="2"/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</row>
    <row r="1331" spans="1:14" ht="13.2">
      <c r="A1331" s="2"/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</row>
    <row r="1332" spans="1:14" ht="13.2">
      <c r="A1332" s="2"/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</row>
    <row r="1333" spans="1:14" ht="13.2">
      <c r="A1333" s="2"/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</row>
    <row r="1334" spans="1:14" ht="13.2">
      <c r="A1334" s="2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</row>
    <row r="1335" spans="1:14" ht="13.2">
      <c r="A1335" s="2"/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</row>
    <row r="1336" spans="1:14" ht="13.2">
      <c r="A1336" s="2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</row>
    <row r="1337" spans="1:14" ht="13.2">
      <c r="A1337" s="2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</row>
    <row r="1338" spans="1:14" ht="13.2">
      <c r="A1338" s="2"/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</row>
    <row r="1339" spans="1:14" ht="13.2">
      <c r="A1339" s="2"/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</row>
    <row r="1340" spans="1:14" ht="13.2">
      <c r="A1340" s="2"/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</row>
    <row r="1341" spans="1:14" ht="13.2">
      <c r="A1341" s="2"/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</row>
    <row r="1342" spans="1:14" ht="13.2">
      <c r="A1342" s="2"/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</row>
    <row r="1343" spans="1:14" ht="13.2">
      <c r="A1343" s="2"/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</row>
    <row r="1344" spans="1:14" ht="13.2">
      <c r="A1344" s="2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</row>
    <row r="1345" spans="1:14" ht="13.2">
      <c r="A1345" s="2"/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</row>
    <row r="1346" spans="1:14" ht="13.2">
      <c r="A1346" s="2"/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</row>
    <row r="1347" spans="1:14" ht="13.2">
      <c r="A1347" s="2"/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</row>
    <row r="1348" spans="1:14" ht="13.2">
      <c r="A1348" s="2"/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</row>
    <row r="1349" spans="1:14" ht="13.2">
      <c r="A1349" s="2"/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</row>
    <row r="1350" spans="1:14" ht="13.2">
      <c r="A1350" s="2"/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</row>
    <row r="1351" spans="1:14" ht="13.2">
      <c r="A1351" s="2"/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</row>
    <row r="1352" spans="1:14" ht="13.2">
      <c r="A1352" s="2"/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</row>
    <row r="1353" spans="1:14" ht="13.2">
      <c r="A1353" s="2"/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</row>
    <row r="1354" spans="1:14" ht="13.2">
      <c r="A1354" s="2"/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</row>
    <row r="1355" spans="1:14" ht="13.2">
      <c r="A1355" s="2"/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</row>
    <row r="1356" spans="1:14" ht="13.2">
      <c r="A1356" s="2"/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</row>
    <row r="1357" spans="1:14" ht="13.2">
      <c r="A1357" s="2"/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</row>
    <row r="1358" spans="1:14" ht="13.2">
      <c r="A1358" s="2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</row>
    <row r="1359" spans="1:14" ht="13.2">
      <c r="A1359" s="2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</row>
    <row r="1360" spans="1:14" ht="13.2">
      <c r="A1360" s="2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</row>
    <row r="1361" spans="1:14" ht="13.2">
      <c r="A1361" s="2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</row>
    <row r="1362" spans="1:14" ht="13.2">
      <c r="A1362" s="2"/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</row>
    <row r="1363" spans="1:14" ht="13.2">
      <c r="A1363" s="2"/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</row>
    <row r="1364" spans="1:14" ht="13.2">
      <c r="A1364" s="2"/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</row>
    <row r="1365" spans="1:14" ht="13.2">
      <c r="A1365" s="2"/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</row>
    <row r="1366" spans="1:14" ht="13.2">
      <c r="A1366" s="2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</row>
    <row r="1367" spans="1:14" ht="13.2">
      <c r="A1367" s="2"/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</row>
    <row r="1368" spans="1:14" ht="13.2">
      <c r="A1368" s="2"/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</row>
    <row r="1369" spans="1:14" ht="13.2">
      <c r="A1369" s="2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</row>
    <row r="1370" spans="1:14" ht="13.2">
      <c r="A1370" s="2"/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</row>
    <row r="1371" spans="1:14" ht="13.2">
      <c r="A1371" s="2"/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</row>
    <row r="1372" spans="1:14" ht="13.2">
      <c r="A1372" s="2"/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</row>
    <row r="1373" spans="1:14" ht="13.2">
      <c r="A1373" s="2"/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</row>
    <row r="1374" spans="1:14" ht="13.2">
      <c r="A1374" s="2"/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</row>
    <row r="1375" spans="1:14" ht="13.2">
      <c r="A1375" s="2"/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</row>
    <row r="1376" spans="1:14" ht="13.2">
      <c r="A1376" s="2"/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</row>
    <row r="1377" spans="1:14" ht="13.2">
      <c r="A1377" s="2"/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</row>
    <row r="1378" spans="1:14" ht="13.2">
      <c r="A1378" s="2"/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</row>
    <row r="1379" spans="1:14" ht="13.2">
      <c r="A1379" s="2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</row>
    <row r="1380" spans="1:14" ht="13.2">
      <c r="A1380" s="2"/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</row>
    <row r="1381" spans="1:14" ht="13.2">
      <c r="A1381" s="2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</row>
    <row r="1382" spans="1:14" ht="13.2">
      <c r="A1382" s="2"/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</row>
    <row r="1383" spans="1:14" ht="13.2">
      <c r="A1383" s="2"/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</row>
    <row r="1384" spans="1:14" ht="13.2">
      <c r="A1384" s="2"/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</row>
    <row r="1385" spans="1:14" ht="13.2">
      <c r="A1385" s="2"/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</row>
    <row r="1386" spans="1:14" ht="13.2">
      <c r="A1386" s="2"/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</row>
    <row r="1387" spans="1:14" ht="13.2">
      <c r="A1387" s="2"/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</row>
    <row r="1388" spans="1:14" ht="13.2">
      <c r="A1388" s="2"/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</row>
    <row r="1389" spans="1:14" ht="13.2">
      <c r="A1389" s="2"/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</row>
    <row r="1390" spans="1:14" ht="13.2">
      <c r="A1390" s="2"/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</row>
    <row r="1391" spans="1:14" ht="13.2">
      <c r="A1391" s="2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</row>
    <row r="1392" spans="1:14" ht="13.2">
      <c r="A1392" s="2"/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</row>
    <row r="1393" spans="1:14" ht="13.2">
      <c r="A1393" s="2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</row>
    <row r="1394" spans="1:14" ht="13.2">
      <c r="A1394" s="2"/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</row>
    <row r="1395" spans="1:14" ht="13.2">
      <c r="A1395" s="2"/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</row>
    <row r="1396" spans="1:14" ht="13.2">
      <c r="A1396" s="2"/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</row>
    <row r="1397" spans="1:14" ht="13.2">
      <c r="A1397" s="2"/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</row>
    <row r="1398" spans="1:14" ht="13.2">
      <c r="A1398" s="2"/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</row>
    <row r="1399" spans="1:14" ht="13.2">
      <c r="A1399" s="2"/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</row>
    <row r="1400" spans="1:14" ht="13.2">
      <c r="A1400" s="2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</row>
    <row r="1401" spans="1:14" ht="13.2">
      <c r="A1401" s="2"/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</row>
    <row r="1402" spans="1:14" ht="13.2">
      <c r="A1402" s="2"/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</row>
    <row r="1403" spans="1:14" ht="13.2">
      <c r="A1403" s="2"/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</row>
    <row r="1404" spans="1:14" ht="13.2">
      <c r="A1404" s="2"/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</row>
    <row r="1405" spans="1:14" ht="13.2">
      <c r="A1405" s="2"/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</row>
    <row r="1406" spans="1:14" ht="13.2">
      <c r="A1406" s="2"/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</row>
    <row r="1407" spans="1:14" ht="13.2">
      <c r="A1407" s="2"/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</row>
    <row r="1408" spans="1:14" ht="13.2">
      <c r="A1408" s="2"/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</row>
    <row r="1409" spans="1:14" ht="13.2">
      <c r="A1409" s="2"/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</row>
    <row r="1410" spans="1:14" ht="13.2">
      <c r="A1410" s="2"/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</row>
    <row r="1411" spans="1:14" ht="13.2">
      <c r="A1411" s="2"/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</row>
    <row r="1412" spans="1:14" ht="13.2">
      <c r="A1412" s="2"/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</row>
    <row r="1413" spans="1:14" ht="13.2">
      <c r="A1413" s="2"/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</row>
    <row r="1414" spans="1:14" ht="13.2">
      <c r="A1414" s="2"/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</row>
    <row r="1415" spans="1:14" ht="13.2">
      <c r="A1415" s="2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</row>
    <row r="1416" spans="1:14" ht="13.2">
      <c r="A1416" s="2"/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</row>
    <row r="1417" spans="1:14" ht="13.2">
      <c r="A1417" s="2"/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</row>
    <row r="1418" spans="1:14" ht="13.2">
      <c r="A1418" s="2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</row>
    <row r="1419" spans="1:14" ht="13.2">
      <c r="A1419" s="2"/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</row>
    <row r="1420" spans="1:14" ht="13.2">
      <c r="A1420" s="2"/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</row>
    <row r="1421" spans="1:14" ht="13.2">
      <c r="A1421" s="2"/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</row>
    <row r="1422" spans="1:14" ht="13.2">
      <c r="A1422" s="2"/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</row>
    <row r="1423" spans="1:14" ht="13.2">
      <c r="A1423" s="2"/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</row>
    <row r="1424" spans="1:14" ht="13.2">
      <c r="A1424" s="2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</row>
    <row r="1425" spans="1:14" ht="13.2">
      <c r="A1425" s="2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</row>
    <row r="1426" spans="1:14" ht="13.2">
      <c r="A1426" s="2"/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</row>
    <row r="1427" spans="1:14" ht="13.2">
      <c r="A1427" s="2"/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</row>
    <row r="1428" spans="1:14" ht="13.2">
      <c r="A1428" s="2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</row>
    <row r="1429" spans="1:14" ht="13.2">
      <c r="A1429" s="2"/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</row>
    <row r="1430" spans="1:14" ht="13.2">
      <c r="A1430" s="2"/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</row>
    <row r="1431" spans="1:14" ht="13.2">
      <c r="A1431" s="2"/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</row>
    <row r="1432" spans="1:14" ht="13.2">
      <c r="A1432" s="2"/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</row>
    <row r="1433" spans="1:14" ht="13.2">
      <c r="A1433" s="2"/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</row>
    <row r="1434" spans="1:14" ht="13.2">
      <c r="A1434" s="2"/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</row>
    <row r="1435" spans="1:14" ht="13.2">
      <c r="A1435" s="2"/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</row>
    <row r="1436" spans="1:14" ht="13.2">
      <c r="A1436" s="2"/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</row>
    <row r="1437" spans="1:14" ht="13.2">
      <c r="A1437" s="2"/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</row>
    <row r="1438" spans="1:14" ht="13.2">
      <c r="A1438" s="2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</row>
    <row r="1439" spans="1:14" ht="13.2">
      <c r="A1439" s="2"/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</row>
    <row r="1440" spans="1:14" ht="13.2">
      <c r="A1440" s="2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</row>
    <row r="1441" spans="1:14" ht="13.2">
      <c r="A1441" s="2"/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</row>
    <row r="1442" spans="1:14" ht="13.2">
      <c r="A1442" s="2"/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</row>
    <row r="1443" spans="1:14" ht="13.2">
      <c r="A1443" s="2"/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</row>
    <row r="1444" spans="1:14" ht="13.2">
      <c r="A1444" s="2"/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</row>
    <row r="1445" spans="1:14" ht="13.2">
      <c r="A1445" s="2"/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</row>
    <row r="1446" spans="1:14" ht="13.2">
      <c r="A1446" s="2"/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</row>
    <row r="1447" spans="1:14" ht="13.2">
      <c r="A1447" s="2"/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</row>
    <row r="1448" spans="1:14" ht="13.2">
      <c r="A1448" s="2"/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</row>
    <row r="1449" spans="1:14" ht="13.2">
      <c r="A1449" s="2"/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</row>
    <row r="1450" spans="1:14" ht="13.2">
      <c r="A1450" s="2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</row>
    <row r="1451" spans="1:14" ht="13.2">
      <c r="A1451" s="2"/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</row>
    <row r="1452" spans="1:14" ht="13.2">
      <c r="A1452" s="2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</row>
    <row r="1453" spans="1:14" ht="13.2">
      <c r="A1453" s="2"/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</row>
    <row r="1454" spans="1:14" ht="13.2">
      <c r="A1454" s="2"/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</row>
    <row r="1455" spans="1:14" ht="13.2">
      <c r="A1455" s="2"/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</row>
    <row r="1456" spans="1:14" ht="13.2">
      <c r="A1456" s="2"/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</row>
    <row r="1457" spans="1:14" ht="13.2">
      <c r="A1457" s="2"/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</row>
    <row r="1458" spans="1:14" ht="13.2">
      <c r="A1458" s="2"/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</row>
    <row r="1459" spans="1:14" ht="13.2">
      <c r="A1459" s="2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</row>
    <row r="1460" spans="1:14" ht="13.2">
      <c r="A1460" s="2"/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</row>
    <row r="1461" spans="1:14" ht="13.2">
      <c r="A1461" s="2"/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</row>
    <row r="1462" spans="1:14" ht="13.2">
      <c r="A1462" s="2"/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</row>
    <row r="1463" spans="1:14" ht="13.2">
      <c r="A1463" s="2"/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</row>
    <row r="1464" spans="1:14" ht="13.2">
      <c r="A1464" s="2"/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</row>
    <row r="1465" spans="1:14" ht="13.2">
      <c r="A1465" s="2"/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</row>
    <row r="1466" spans="1:14" ht="13.2">
      <c r="A1466" s="2"/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</row>
    <row r="1467" spans="1:14" ht="13.2">
      <c r="A1467" s="2"/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</row>
    <row r="1468" spans="1:14" ht="13.2">
      <c r="A1468" s="2"/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</row>
    <row r="1469" spans="1:14" ht="13.2">
      <c r="A1469" s="2"/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</row>
    <row r="1470" spans="1:14" ht="13.2">
      <c r="A1470" s="2"/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</row>
    <row r="1471" spans="1:14" ht="13.2">
      <c r="A1471" s="2"/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</row>
    <row r="1472" spans="1:14" ht="13.2">
      <c r="A1472" s="2"/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</row>
    <row r="1473" spans="1:14" ht="13.2">
      <c r="A1473" s="2"/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</row>
    <row r="1474" spans="1:14" ht="13.2">
      <c r="A1474" s="2"/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</row>
    <row r="1475" spans="1:14" ht="13.2">
      <c r="A1475" s="2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</row>
    <row r="1476" spans="1:14" ht="13.2">
      <c r="A1476" s="2"/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</row>
    <row r="1477" spans="1:14" ht="13.2">
      <c r="A1477" s="2"/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</row>
    <row r="1478" spans="1:14" ht="13.2">
      <c r="A1478" s="2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</row>
    <row r="1479" spans="1:14" ht="13.2">
      <c r="A1479" s="2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</row>
    <row r="1480" spans="1:14" ht="13.2">
      <c r="A1480" s="2"/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</row>
    <row r="1481" spans="1:14" ht="13.2">
      <c r="A1481" s="2"/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</row>
    <row r="1482" spans="1:14" ht="13.2">
      <c r="A1482" s="2"/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</row>
    <row r="1483" spans="1:14" ht="13.2">
      <c r="A1483" s="2"/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</row>
    <row r="1484" spans="1:14" ht="13.2">
      <c r="A1484" s="2"/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</row>
    <row r="1485" spans="1:14" ht="13.2">
      <c r="A1485" s="2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</row>
    <row r="1486" spans="1:14" ht="13.2">
      <c r="A1486" s="2"/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</row>
    <row r="1487" spans="1:14" ht="13.2">
      <c r="A1487" s="2"/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</row>
    <row r="1488" spans="1:14" ht="13.2">
      <c r="A1488" s="2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</row>
    <row r="1489" spans="1:14" ht="13.2">
      <c r="A1489" s="2"/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</row>
    <row r="1490" spans="1:14" ht="13.2">
      <c r="A1490" s="2"/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</row>
    <row r="1491" spans="1:14" ht="13.2">
      <c r="A1491" s="2"/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</row>
    <row r="1492" spans="1:14" ht="13.2">
      <c r="A1492" s="2"/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</row>
    <row r="1493" spans="1:14" ht="13.2">
      <c r="A1493" s="2"/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</row>
    <row r="1494" spans="1:14" ht="13.2">
      <c r="A1494" s="2"/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</row>
    <row r="1495" spans="1:14" ht="13.2">
      <c r="A1495" s="2"/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</row>
    <row r="1496" spans="1:14" ht="13.2">
      <c r="A1496" s="2"/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</row>
    <row r="1497" spans="1:14" ht="13.2">
      <c r="A1497" s="2"/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</row>
    <row r="1498" spans="1:14" ht="13.2">
      <c r="A1498" s="2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</row>
    <row r="1499" spans="1:14" ht="13.2">
      <c r="A1499" s="2"/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</row>
    <row r="1500" spans="1:14" ht="13.2">
      <c r="A1500" s="2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</row>
    <row r="1501" spans="1:14" ht="13.2">
      <c r="A1501" s="2"/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</row>
    <row r="1502" spans="1:14" ht="13.2">
      <c r="A1502" s="2"/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</row>
    <row r="1503" spans="1:14" ht="13.2">
      <c r="A1503" s="2"/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</row>
    <row r="1504" spans="1:14" ht="13.2">
      <c r="A1504" s="2"/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</row>
    <row r="1505" spans="1:14" ht="13.2">
      <c r="A1505" s="2"/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</row>
    <row r="1506" spans="1:14" ht="13.2">
      <c r="A1506" s="2"/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</row>
    <row r="1507" spans="1:14" ht="13.2">
      <c r="A1507" s="2"/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</row>
    <row r="1508" spans="1:14" ht="13.2">
      <c r="A1508" s="2"/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</row>
    <row r="1509" spans="1:14" ht="13.2">
      <c r="A1509" s="2"/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</row>
    <row r="1510" spans="1:14" ht="13.2">
      <c r="A1510" s="2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</row>
    <row r="1511" spans="1:14" ht="13.2">
      <c r="A1511" s="2"/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</row>
    <row r="1512" spans="1:14" ht="13.2">
      <c r="A1512" s="2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</row>
    <row r="1513" spans="1:14" ht="13.2">
      <c r="A1513" s="2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</row>
    <row r="1514" spans="1:14" ht="13.2">
      <c r="A1514" s="2"/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</row>
    <row r="1515" spans="1:14" ht="13.2">
      <c r="A1515" s="2"/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</row>
    <row r="1516" spans="1:14" ht="13.2">
      <c r="A1516" s="2"/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</row>
    <row r="1517" spans="1:14" ht="13.2">
      <c r="A1517" s="2"/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</row>
    <row r="1518" spans="1:14" ht="13.2">
      <c r="A1518" s="2"/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</row>
    <row r="1519" spans="1:14" ht="13.2">
      <c r="A1519" s="2"/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</row>
    <row r="1520" spans="1:14" ht="13.2">
      <c r="A1520" s="2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</row>
    <row r="1521" spans="1:14" ht="13.2">
      <c r="A1521" s="2"/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</row>
    <row r="1522" spans="1:14" ht="13.2">
      <c r="A1522" s="2"/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</row>
    <row r="1523" spans="1:14" ht="13.2">
      <c r="A1523" s="2"/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</row>
    <row r="1524" spans="1:14" ht="13.2">
      <c r="A1524" s="2"/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</row>
    <row r="1525" spans="1:14" ht="13.2">
      <c r="A1525" s="2"/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</row>
    <row r="1526" spans="1:14" ht="13.2">
      <c r="A1526" s="2"/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</row>
    <row r="1527" spans="1:14" ht="13.2">
      <c r="A1527" s="2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</row>
    <row r="1528" spans="1:14" ht="13.2">
      <c r="A1528" s="2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</row>
    <row r="1529" spans="1:14" ht="13.2">
      <c r="A1529" s="2"/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</row>
    <row r="1530" spans="1:14" ht="13.2">
      <c r="A1530" s="2"/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</row>
    <row r="1531" spans="1:14" ht="13.2">
      <c r="A1531" s="2"/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</row>
    <row r="1532" spans="1:14" ht="13.2">
      <c r="A1532" s="2"/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</row>
    <row r="1533" spans="1:14" ht="13.2">
      <c r="A1533" s="2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</row>
    <row r="1534" spans="1:14" ht="13.2">
      <c r="A1534" s="2"/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</row>
    <row r="1535" spans="1:14" ht="13.2">
      <c r="A1535" s="2"/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</row>
    <row r="1536" spans="1:14" ht="13.2">
      <c r="A1536" s="2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</row>
    <row r="1537" spans="1:14" ht="13.2">
      <c r="A1537" s="2"/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</row>
    <row r="1538" spans="1:14" ht="13.2">
      <c r="A1538" s="2"/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</row>
    <row r="1539" spans="1:14" ht="13.2">
      <c r="A1539" s="2"/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</row>
    <row r="1540" spans="1:14" ht="13.2">
      <c r="A1540" s="2"/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</row>
    <row r="1541" spans="1:14" ht="13.2">
      <c r="A1541" s="2"/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</row>
    <row r="1542" spans="1:14" ht="13.2">
      <c r="A1542" s="2"/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</row>
    <row r="1543" spans="1:14" ht="13.2">
      <c r="A1543" s="2"/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</row>
    <row r="1544" spans="1:14" ht="13.2">
      <c r="A1544" s="2"/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</row>
    <row r="1545" spans="1:14" ht="13.2">
      <c r="A1545" s="2"/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</row>
    <row r="1546" spans="1:14" ht="13.2">
      <c r="A1546" s="2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</row>
    <row r="1547" spans="1:14" ht="13.2">
      <c r="A1547" s="2"/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</row>
    <row r="1548" spans="1:14" ht="13.2">
      <c r="A1548" s="2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</row>
    <row r="1549" spans="1:14" ht="13.2">
      <c r="A1549" s="2"/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</row>
    <row r="1550" spans="1:14" ht="13.2">
      <c r="A1550" s="2"/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</row>
    <row r="1551" spans="1:14" ht="13.2">
      <c r="A1551" s="2"/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</row>
    <row r="1552" spans="1:14" ht="13.2">
      <c r="A1552" s="2"/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</row>
    <row r="1553" spans="1:14" ht="13.2">
      <c r="A1553" s="2"/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</row>
    <row r="1554" spans="1:14" ht="13.2">
      <c r="A1554" s="2"/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</row>
    <row r="1555" spans="1:14" ht="13.2">
      <c r="A1555" s="2"/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</row>
    <row r="1556" spans="1:14" ht="13.2">
      <c r="A1556" s="2"/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</row>
    <row r="1557" spans="1:14" ht="13.2">
      <c r="A1557" s="2"/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</row>
    <row r="1558" spans="1:14" ht="13.2">
      <c r="A1558" s="2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</row>
    <row r="1559" spans="1:14" ht="13.2">
      <c r="A1559" s="2"/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</row>
    <row r="1560" spans="1:14" ht="13.2">
      <c r="A1560" s="2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</row>
    <row r="1561" spans="1:14" ht="13.2">
      <c r="A1561" s="2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</row>
    <row r="1562" spans="1:14" ht="13.2">
      <c r="A1562" s="2"/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</row>
    <row r="1563" spans="1:14" ht="13.2">
      <c r="A1563" s="2"/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</row>
    <row r="1564" spans="1:14" ht="13.2">
      <c r="A1564" s="2"/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</row>
    <row r="1565" spans="1:14" ht="13.2">
      <c r="A1565" s="2"/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</row>
    <row r="1566" spans="1:14" ht="13.2">
      <c r="A1566" s="2"/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</row>
    <row r="1567" spans="1:14" ht="13.2">
      <c r="A1567" s="2"/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</row>
    <row r="1568" spans="1:14" ht="13.2">
      <c r="A1568" s="2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</row>
    <row r="1569" spans="1:14" ht="13.2">
      <c r="A1569" s="2"/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</row>
    <row r="1570" spans="1:14" ht="13.2">
      <c r="A1570" s="2"/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</row>
    <row r="1571" spans="1:14" ht="13.2">
      <c r="A1571" s="2"/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</row>
    <row r="1572" spans="1:14" ht="13.2">
      <c r="A1572" s="2"/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</row>
    <row r="1573" spans="1:14" ht="13.2">
      <c r="A1573" s="2"/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</row>
    <row r="1574" spans="1:14" ht="13.2">
      <c r="A1574" s="2"/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</row>
    <row r="1575" spans="1:14" ht="13.2">
      <c r="A1575" s="2"/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</row>
    <row r="1576" spans="1:14" ht="13.2">
      <c r="A1576" s="2"/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</row>
    <row r="1577" spans="1:14" ht="13.2">
      <c r="A1577" s="2"/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</row>
    <row r="1578" spans="1:14" ht="13.2">
      <c r="A1578" s="2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</row>
    <row r="1579" spans="1:14" ht="13.2">
      <c r="A1579" s="2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</row>
    <row r="1580" spans="1:14" ht="13.2">
      <c r="A1580" s="2"/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</row>
    <row r="1581" spans="1:14" ht="13.2">
      <c r="A1581" s="2"/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</row>
    <row r="1582" spans="1:14" ht="13.2">
      <c r="A1582" s="2"/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</row>
    <row r="1583" spans="1:14" ht="13.2">
      <c r="A1583" s="2"/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</row>
    <row r="1584" spans="1:14" ht="13.2">
      <c r="A1584" s="2"/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</row>
    <row r="1585" spans="1:14" ht="13.2">
      <c r="A1585" s="2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</row>
    <row r="1586" spans="1:14" ht="13.2">
      <c r="A1586" s="2"/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</row>
    <row r="1587" spans="1:14" ht="13.2">
      <c r="A1587" s="2"/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</row>
    <row r="1588" spans="1:14" ht="13.2">
      <c r="A1588" s="2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</row>
    <row r="1589" spans="1:14" ht="13.2">
      <c r="A1589" s="2"/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</row>
    <row r="1590" spans="1:14" ht="13.2">
      <c r="A1590" s="2"/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</row>
    <row r="1591" spans="1:14" ht="13.2">
      <c r="A1591" s="2"/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</row>
    <row r="1592" spans="1:14" ht="13.2">
      <c r="A1592" s="2"/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</row>
    <row r="1593" spans="1:14" ht="13.2">
      <c r="A1593" s="2"/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</row>
    <row r="1594" spans="1:14" ht="13.2">
      <c r="A1594" s="2"/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</row>
    <row r="1595" spans="1:14" ht="13.2">
      <c r="A1595" s="2"/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</row>
    <row r="1596" spans="1:14" ht="13.2">
      <c r="A1596" s="2"/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</row>
    <row r="1597" spans="1:14" ht="13.2">
      <c r="A1597" s="2"/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</row>
    <row r="1598" spans="1:14" ht="13.2">
      <c r="A1598" s="2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</row>
    <row r="1599" spans="1:14" ht="13.2">
      <c r="A1599" s="2"/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</row>
    <row r="1600" spans="1:14" ht="13.2">
      <c r="A1600" s="2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</row>
    <row r="1601" spans="1:14" ht="13.2">
      <c r="A1601" s="2"/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</row>
    <row r="1602" spans="1:14" ht="13.2">
      <c r="A1602" s="2"/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</row>
    <row r="1603" spans="1:14" ht="13.2">
      <c r="A1603" s="2"/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</row>
    <row r="1604" spans="1:14" ht="13.2">
      <c r="A1604" s="2"/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</row>
    <row r="1605" spans="1:14" ht="13.2">
      <c r="A1605" s="2"/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</row>
    <row r="1606" spans="1:14" ht="13.2">
      <c r="A1606" s="2"/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</row>
    <row r="1607" spans="1:14" ht="13.2">
      <c r="A1607" s="2"/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</row>
    <row r="1608" spans="1:14" ht="13.2">
      <c r="A1608" s="2"/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</row>
    <row r="1609" spans="1:14" ht="13.2">
      <c r="A1609" s="2"/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</row>
    <row r="1610" spans="1:14" ht="13.2">
      <c r="A1610" s="2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</row>
    <row r="1611" spans="1:14" ht="13.2">
      <c r="A1611" s="2"/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</row>
    <row r="1612" spans="1:14" ht="13.2">
      <c r="A1612" s="2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</row>
    <row r="1613" spans="1:14" ht="13.2">
      <c r="A1613" s="2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</row>
    <row r="1614" spans="1:14" ht="13.2">
      <c r="A1614" s="2"/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</row>
    <row r="1615" spans="1:14" ht="13.2">
      <c r="A1615" s="2"/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</row>
    <row r="1616" spans="1:14" ht="13.2">
      <c r="A1616" s="2"/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</row>
    <row r="1617" spans="1:14" ht="13.2">
      <c r="A1617" s="2"/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</row>
    <row r="1618" spans="1:14" ht="13.2">
      <c r="A1618" s="2"/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</row>
    <row r="1619" spans="1:14" ht="13.2">
      <c r="A1619" s="2"/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</row>
    <row r="1620" spans="1:14" ht="13.2">
      <c r="A1620" s="2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</row>
    <row r="1621" spans="1:14" ht="13.2">
      <c r="A1621" s="2"/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</row>
    <row r="1622" spans="1:14" ht="13.2">
      <c r="A1622" s="2"/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</row>
    <row r="1623" spans="1:14" ht="13.2">
      <c r="A1623" s="2"/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</row>
    <row r="1624" spans="1:14" ht="13.2">
      <c r="A1624" s="2"/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</row>
    <row r="1625" spans="1:14" ht="13.2">
      <c r="A1625" s="2"/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</row>
    <row r="1626" spans="1:14" ht="13.2">
      <c r="A1626" s="2"/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</row>
    <row r="1627" spans="1:14" ht="13.2">
      <c r="A1627" s="2"/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</row>
    <row r="1628" spans="1:14" ht="13.2">
      <c r="A1628" s="2"/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</row>
    <row r="1629" spans="1:14" ht="13.2">
      <c r="A1629" s="2"/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</row>
    <row r="1630" spans="1:14" ht="13.2">
      <c r="A1630" s="2"/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</row>
    <row r="1631" spans="1:14" ht="13.2">
      <c r="A1631" s="2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</row>
    <row r="1632" spans="1:14" ht="13.2">
      <c r="A1632" s="2"/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</row>
    <row r="1633" spans="1:14" ht="13.2">
      <c r="A1633" s="2"/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</row>
    <row r="1634" spans="1:14" ht="13.2">
      <c r="A1634" s="2"/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</row>
    <row r="1635" spans="1:14" ht="13.2">
      <c r="A1635" s="2"/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</row>
    <row r="1636" spans="1:14" ht="13.2">
      <c r="A1636" s="2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</row>
    <row r="1637" spans="1:14" ht="13.2">
      <c r="A1637" s="2"/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</row>
    <row r="1638" spans="1:14" ht="13.2">
      <c r="A1638" s="2"/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</row>
    <row r="1639" spans="1:14" ht="13.2">
      <c r="A1639" s="2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</row>
    <row r="1640" spans="1:14" ht="13.2">
      <c r="A1640" s="2"/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</row>
    <row r="1641" spans="1:14" ht="13.2">
      <c r="A1641" s="2"/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</row>
    <row r="1642" spans="1:14" ht="13.2">
      <c r="A1642" s="2"/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</row>
    <row r="1643" spans="1:14" ht="13.2">
      <c r="A1643" s="2"/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</row>
    <row r="1644" spans="1:14" ht="13.2">
      <c r="A1644" s="2"/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</row>
    <row r="1645" spans="1:14" ht="13.2">
      <c r="A1645" s="2"/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</row>
    <row r="1646" spans="1:14" ht="13.2">
      <c r="A1646" s="2"/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</row>
    <row r="1647" spans="1:14" ht="13.2">
      <c r="A1647" s="2"/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</row>
    <row r="1648" spans="1:14" ht="13.2">
      <c r="A1648" s="2"/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</row>
    <row r="1649" spans="1:14" ht="13.2">
      <c r="A1649" s="2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</row>
    <row r="1650" spans="1:14" ht="13.2">
      <c r="A1650" s="2"/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</row>
    <row r="1651" spans="1:14" ht="13.2">
      <c r="A1651" s="2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</row>
    <row r="1652" spans="1:14" ht="13.2">
      <c r="A1652" s="2"/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</row>
    <row r="1653" spans="1:14" ht="13.2">
      <c r="A1653" s="2"/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</row>
    <row r="1654" spans="1:14" ht="13.2">
      <c r="A1654" s="2"/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</row>
    <row r="1655" spans="1:14" ht="13.2">
      <c r="A1655" s="2"/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</row>
    <row r="1656" spans="1:14" ht="13.2">
      <c r="A1656" s="2"/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</row>
    <row r="1657" spans="1:14" ht="13.2">
      <c r="A1657" s="2"/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</row>
    <row r="1658" spans="1:14" ht="13.2">
      <c r="A1658" s="2"/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</row>
    <row r="1659" spans="1:14" ht="13.2">
      <c r="A1659" s="2"/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</row>
    <row r="1660" spans="1:14" ht="13.2">
      <c r="A1660" s="2"/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</row>
    <row r="1661" spans="1:14" ht="13.2">
      <c r="A1661" s="2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</row>
    <row r="1662" spans="1:14" ht="13.2">
      <c r="A1662" s="2"/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</row>
    <row r="1663" spans="1:14" ht="13.2">
      <c r="A1663" s="2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</row>
    <row r="1664" spans="1:14" ht="13.2">
      <c r="A1664" s="2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</row>
    <row r="1665" spans="1:14" ht="13.2">
      <c r="A1665" s="2"/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</row>
    <row r="1666" spans="1:14" ht="13.2">
      <c r="A1666" s="2"/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</row>
    <row r="1667" spans="1:14" ht="13.2">
      <c r="A1667" s="2"/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</row>
    <row r="1668" spans="1:14" ht="13.2">
      <c r="A1668" s="2"/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</row>
    <row r="1669" spans="1:14" ht="13.2">
      <c r="A1669" s="2"/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</row>
    <row r="1670" spans="1:14" ht="13.2">
      <c r="A1670" s="2"/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</row>
    <row r="1671" spans="1:14" ht="13.2">
      <c r="A1671" s="2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</row>
    <row r="1672" spans="1:14" ht="13.2">
      <c r="A1672" s="2"/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</row>
    <row r="1673" spans="1:14" ht="13.2">
      <c r="A1673" s="2"/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</row>
    <row r="1674" spans="1:14" ht="13.2">
      <c r="A1674" s="2"/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</row>
    <row r="1675" spans="1:14" ht="13.2">
      <c r="A1675" s="2"/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</row>
    <row r="1676" spans="1:14" ht="13.2">
      <c r="A1676" s="2"/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</row>
    <row r="1677" spans="1:14" ht="13.2">
      <c r="A1677" s="2"/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</row>
    <row r="1678" spans="1:14" ht="13.2">
      <c r="A1678" s="2"/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</row>
    <row r="1679" spans="1:14" ht="13.2">
      <c r="A1679" s="2"/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</row>
    <row r="1680" spans="1:14" ht="13.2">
      <c r="A1680" s="2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</row>
    <row r="1681" spans="1:14" ht="13.2">
      <c r="A1681" s="2"/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</row>
    <row r="1682" spans="1:14" ht="13.2">
      <c r="A1682" s="2"/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</row>
    <row r="1683" spans="1:14" ht="13.2">
      <c r="A1683" s="2"/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</row>
    <row r="1684" spans="1:14" ht="13.2">
      <c r="A1684" s="2"/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</row>
    <row r="1685" spans="1:14" ht="13.2">
      <c r="A1685" s="2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</row>
    <row r="1686" spans="1:14" ht="13.2">
      <c r="A1686" s="2"/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</row>
    <row r="1687" spans="1:14" ht="13.2">
      <c r="A1687" s="2"/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</row>
    <row r="1688" spans="1:14" ht="13.2">
      <c r="A1688" s="2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</row>
    <row r="1689" spans="1:14" ht="13.2">
      <c r="A1689" s="2"/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</row>
    <row r="1690" spans="1:14" ht="13.2">
      <c r="A1690" s="2"/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</row>
    <row r="1691" spans="1:14" ht="13.2">
      <c r="A1691" s="2"/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</row>
    <row r="1692" spans="1:14" ht="13.2">
      <c r="A1692" s="2"/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</row>
    <row r="1693" spans="1:14" ht="13.2">
      <c r="A1693" s="2"/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</row>
    <row r="1694" spans="1:14" ht="13.2">
      <c r="A1694" s="2"/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</row>
    <row r="1695" spans="1:14" ht="13.2">
      <c r="A1695" s="2"/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</row>
    <row r="1696" spans="1:14" ht="13.2">
      <c r="A1696" s="2"/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</row>
    <row r="1697" spans="1:14" ht="13.2">
      <c r="A1697" s="2"/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</row>
    <row r="1698" spans="1:14" ht="13.2">
      <c r="A1698" s="2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</row>
    <row r="1699" spans="1:14" ht="13.2">
      <c r="A1699" s="2"/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</row>
    <row r="1700" spans="1:14" ht="13.2">
      <c r="A1700" s="2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</row>
    <row r="1701" spans="1:14" ht="13.2">
      <c r="A1701" s="2"/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</row>
    <row r="1702" spans="1:14" ht="13.2">
      <c r="A1702" s="2"/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</row>
    <row r="1703" spans="1:14" ht="13.2">
      <c r="A1703" s="2"/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</row>
    <row r="1704" spans="1:14" ht="13.2">
      <c r="A1704" s="2"/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</row>
    <row r="1705" spans="1:14" ht="13.2">
      <c r="A1705" s="2"/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</row>
    <row r="1706" spans="1:14" ht="13.2">
      <c r="A1706" s="2"/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</row>
    <row r="1707" spans="1:14" ht="13.2">
      <c r="A1707" s="2"/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</row>
    <row r="1708" spans="1:14" ht="13.2">
      <c r="A1708" s="2"/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</row>
    <row r="1709" spans="1:14" ht="13.2">
      <c r="A1709" s="2"/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</row>
    <row r="1710" spans="1:14" ht="13.2">
      <c r="A1710" s="2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</row>
    <row r="1711" spans="1:14" ht="13.2">
      <c r="A1711" s="2"/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</row>
    <row r="1712" spans="1:14" ht="13.2">
      <c r="A1712" s="2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</row>
    <row r="1713" spans="1:14" ht="13.2">
      <c r="A1713" s="2"/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</row>
    <row r="1714" spans="1:14" ht="13.2">
      <c r="A1714" s="2"/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</row>
    <row r="1715" spans="1:14" ht="13.2">
      <c r="A1715" s="2"/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</row>
    <row r="1716" spans="1:14" ht="13.2">
      <c r="A1716" s="2"/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</row>
    <row r="1717" spans="1:14" ht="13.2">
      <c r="A1717" s="2"/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</row>
    <row r="1718" spans="1:14" ht="13.2">
      <c r="A1718" s="2"/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</row>
    <row r="1719" spans="1:14" ht="13.2">
      <c r="A1719" s="2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</row>
    <row r="1720" spans="1:14" ht="13.2">
      <c r="A1720" s="2"/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</row>
    <row r="1721" spans="1:14" ht="13.2">
      <c r="A1721" s="2"/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</row>
    <row r="1722" spans="1:14" ht="13.2">
      <c r="A1722" s="2"/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</row>
    <row r="1723" spans="1:14" ht="13.2">
      <c r="A1723" s="2"/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</row>
    <row r="1724" spans="1:14" ht="13.2">
      <c r="A1724" s="2"/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</row>
    <row r="1725" spans="1:14" ht="13.2">
      <c r="A1725" s="2"/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</row>
    <row r="1726" spans="1:14" ht="13.2">
      <c r="A1726" s="2"/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</row>
    <row r="1727" spans="1:14" ht="13.2">
      <c r="A1727" s="2"/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</row>
    <row r="1728" spans="1:14" ht="13.2">
      <c r="A1728" s="2"/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</row>
    <row r="1729" spans="1:14" ht="13.2">
      <c r="A1729" s="2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</row>
    <row r="1730" spans="1:14" ht="13.2">
      <c r="A1730" s="2"/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</row>
    <row r="1731" spans="1:14" ht="13.2">
      <c r="A1731" s="2"/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</row>
    <row r="1732" spans="1:14" ht="13.2">
      <c r="A1732" s="2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</row>
    <row r="1733" spans="1:14" ht="13.2">
      <c r="A1733" s="2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</row>
    <row r="1734" spans="1:14" ht="13.2">
      <c r="A1734" s="2"/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</row>
    <row r="1735" spans="1:14" ht="13.2">
      <c r="A1735" s="2"/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</row>
    <row r="1736" spans="1:14" ht="13.2">
      <c r="A1736" s="2"/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</row>
    <row r="1737" spans="1:14" ht="13.2">
      <c r="A1737" s="2"/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</row>
    <row r="1738" spans="1:14" ht="13.2">
      <c r="A1738" s="2"/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</row>
    <row r="1739" spans="1:14" ht="13.2">
      <c r="A1739" s="2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</row>
    <row r="1740" spans="1:14" ht="13.2">
      <c r="A1740" s="2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</row>
    <row r="1741" spans="1:14" ht="13.2">
      <c r="A1741" s="2"/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</row>
    <row r="1742" spans="1:14" ht="13.2">
      <c r="A1742" s="2"/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</row>
    <row r="1743" spans="1:14" ht="13.2">
      <c r="A1743" s="2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</row>
    <row r="1744" spans="1:14" ht="13.2">
      <c r="A1744" s="2"/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</row>
    <row r="1745" spans="1:14" ht="13.2">
      <c r="A1745" s="2"/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</row>
    <row r="1746" spans="1:14" ht="13.2">
      <c r="A1746" s="2"/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</row>
    <row r="1747" spans="1:14" ht="13.2">
      <c r="A1747" s="2"/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</row>
    <row r="1748" spans="1:14" ht="13.2">
      <c r="A1748" s="2"/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</row>
    <row r="1749" spans="1:14" ht="13.2">
      <c r="A1749" s="2"/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</row>
    <row r="1750" spans="1:14" ht="13.2">
      <c r="A1750" s="2"/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</row>
    <row r="1751" spans="1:14" ht="13.2">
      <c r="A1751" s="2"/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</row>
    <row r="1752" spans="1:14" ht="13.2">
      <c r="A1752" s="2"/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</row>
    <row r="1753" spans="1:14" ht="13.2">
      <c r="A1753" s="2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</row>
    <row r="1754" spans="1:14" ht="13.2">
      <c r="A1754" s="2"/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</row>
    <row r="1755" spans="1:14" ht="13.2">
      <c r="A1755" s="2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</row>
    <row r="1756" spans="1:14" ht="13.2">
      <c r="A1756" s="2"/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</row>
    <row r="1757" spans="1:14" ht="13.2">
      <c r="A1757" s="2"/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</row>
    <row r="1758" spans="1:14" ht="13.2">
      <c r="A1758" s="2"/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</row>
    <row r="1759" spans="1:14" ht="13.2">
      <c r="A1759" s="2"/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</row>
    <row r="1760" spans="1:14" ht="13.2">
      <c r="A1760" s="2"/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</row>
    <row r="1761" spans="1:14" ht="13.2">
      <c r="A1761" s="2"/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</row>
    <row r="1762" spans="1:14" ht="13.2">
      <c r="A1762" s="2"/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</row>
    <row r="1763" spans="1:14" ht="13.2">
      <c r="A1763" s="2"/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</row>
    <row r="1764" spans="1:14" ht="13.2">
      <c r="A1764" s="2"/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</row>
    <row r="1765" spans="1:14" ht="13.2">
      <c r="A1765" s="2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</row>
    <row r="1766" spans="1:14" ht="13.2">
      <c r="A1766" s="2"/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</row>
    <row r="1767" spans="1:14" ht="13.2">
      <c r="A1767" s="2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</row>
    <row r="1768" spans="1:14" ht="13.2">
      <c r="A1768" s="2"/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</row>
    <row r="1769" spans="1:14" ht="13.2">
      <c r="A1769" s="2"/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</row>
    <row r="1770" spans="1:14" ht="13.2">
      <c r="A1770" s="2"/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</row>
    <row r="1771" spans="1:14" ht="13.2">
      <c r="A1771" s="2"/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</row>
    <row r="1772" spans="1:14" ht="13.2">
      <c r="A1772" s="2"/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</row>
    <row r="1773" spans="1:14" ht="13.2">
      <c r="A1773" s="2"/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</row>
    <row r="1774" spans="1:14" ht="13.2">
      <c r="A1774" s="2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</row>
    <row r="1775" spans="1:14" ht="13.2">
      <c r="A1775" s="2"/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</row>
    <row r="1776" spans="1:14" ht="13.2">
      <c r="A1776" s="2"/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</row>
    <row r="1777" spans="1:14" ht="13.2">
      <c r="A1777" s="2"/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</row>
    <row r="1778" spans="1:14" ht="13.2">
      <c r="A1778" s="2"/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</row>
    <row r="1779" spans="1:14" ht="13.2">
      <c r="A1779" s="2"/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</row>
    <row r="1780" spans="1:14" ht="13.2">
      <c r="A1780" s="2"/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</row>
    <row r="1781" spans="1:14" ht="13.2">
      <c r="A1781" s="2"/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</row>
    <row r="1782" spans="1:14" ht="13.2">
      <c r="A1782" s="2"/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</row>
    <row r="1783" spans="1:14" ht="13.2">
      <c r="A1783" s="2"/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</row>
    <row r="1784" spans="1:14" ht="13.2">
      <c r="A1784" s="2"/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</row>
    <row r="1785" spans="1:14" ht="13.2">
      <c r="A1785" s="2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</row>
    <row r="1786" spans="1:14" ht="13.2">
      <c r="A1786" s="2"/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</row>
    <row r="1787" spans="1:14" ht="13.2">
      <c r="A1787" s="2"/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</row>
    <row r="1788" spans="1:14" ht="13.2">
      <c r="A1788" s="2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</row>
    <row r="1789" spans="1:14" ht="13.2">
      <c r="A1789" s="2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</row>
    <row r="1790" spans="1:14" ht="13.2">
      <c r="A1790" s="2"/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</row>
    <row r="1791" spans="1:14" ht="13.2">
      <c r="A1791" s="2"/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</row>
    <row r="1792" spans="1:14" ht="13.2">
      <c r="A1792" s="2"/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</row>
    <row r="1793" spans="1:14" ht="13.2">
      <c r="A1793" s="2"/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</row>
    <row r="1794" spans="1:14" ht="13.2">
      <c r="A1794" s="2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</row>
    <row r="1795" spans="1:14" ht="13.2">
      <c r="A1795" s="2"/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</row>
    <row r="1796" spans="1:14" ht="13.2">
      <c r="A1796" s="2"/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</row>
    <row r="1797" spans="1:14" ht="13.2">
      <c r="A1797" s="2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</row>
    <row r="1798" spans="1:14" ht="13.2">
      <c r="A1798" s="2"/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</row>
    <row r="1799" spans="1:14" ht="13.2">
      <c r="A1799" s="2"/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</row>
    <row r="1800" spans="1:14" ht="13.2">
      <c r="A1800" s="2"/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</row>
    <row r="1801" spans="1:14" ht="13.2">
      <c r="A1801" s="2"/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</row>
    <row r="1802" spans="1:14" ht="13.2">
      <c r="A1802" s="2"/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</row>
    <row r="1803" spans="1:14" ht="13.2">
      <c r="A1803" s="2"/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</row>
    <row r="1804" spans="1:14" ht="13.2">
      <c r="A1804" s="2"/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</row>
    <row r="1805" spans="1:14" ht="13.2">
      <c r="A1805" s="2"/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</row>
    <row r="1806" spans="1:14" ht="13.2">
      <c r="A1806" s="2"/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</row>
    <row r="1807" spans="1:14" ht="13.2">
      <c r="A1807" s="2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</row>
    <row r="1808" spans="1:14" ht="13.2">
      <c r="A1808" s="2"/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</row>
    <row r="1809" spans="1:14" ht="13.2">
      <c r="A1809" s="2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</row>
    <row r="1810" spans="1:14" ht="13.2">
      <c r="A1810" s="2"/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</row>
    <row r="1811" spans="1:14" ht="13.2">
      <c r="A1811" s="2"/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</row>
    <row r="1812" spans="1:14" ht="13.2">
      <c r="A1812" s="2"/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</row>
    <row r="1813" spans="1:14" ht="13.2">
      <c r="A1813" s="2"/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</row>
    <row r="1814" spans="1:14" ht="13.2">
      <c r="A1814" s="2"/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</row>
    <row r="1815" spans="1:14" ht="13.2">
      <c r="A1815" s="2"/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</row>
    <row r="1816" spans="1:14" ht="13.2">
      <c r="A1816" s="2"/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</row>
    <row r="1817" spans="1:14" ht="13.2">
      <c r="A1817" s="2"/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</row>
    <row r="1818" spans="1:14" ht="13.2">
      <c r="A1818" s="2"/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</row>
    <row r="1819" spans="1:14" ht="13.2">
      <c r="A1819" s="2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</row>
    <row r="1820" spans="1:14" ht="13.2">
      <c r="A1820" s="2"/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</row>
    <row r="1821" spans="1:14" ht="13.2">
      <c r="A1821" s="2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</row>
    <row r="1822" spans="1:14" ht="13.2">
      <c r="A1822" s="2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</row>
    <row r="1823" spans="1:14" ht="13.2">
      <c r="A1823" s="2"/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</row>
    <row r="1824" spans="1:14" ht="13.2">
      <c r="A1824" s="2"/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</row>
    <row r="1825" spans="1:14" ht="13.2">
      <c r="A1825" s="2"/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</row>
    <row r="1826" spans="1:14" ht="13.2">
      <c r="A1826" s="2"/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</row>
    <row r="1827" spans="1:14" ht="13.2">
      <c r="A1827" s="2"/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</row>
    <row r="1828" spans="1:14" ht="13.2">
      <c r="A1828" s="2"/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</row>
    <row r="1829" spans="1:14" ht="13.2">
      <c r="A1829" s="2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</row>
    <row r="1830" spans="1:14" ht="13.2">
      <c r="A1830" s="2"/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</row>
    <row r="1831" spans="1:14" ht="13.2">
      <c r="A1831" s="2"/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</row>
    <row r="1832" spans="1:14" ht="13.2">
      <c r="A1832" s="2"/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</row>
    <row r="1833" spans="1:14" ht="13.2">
      <c r="A1833" s="2"/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</row>
    <row r="1834" spans="1:14" ht="13.2">
      <c r="A1834" s="2"/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</row>
    <row r="1835" spans="1:14" ht="13.2">
      <c r="A1835" s="2"/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</row>
    <row r="1836" spans="1:14" ht="13.2">
      <c r="A1836" s="2"/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</row>
    <row r="1837" spans="1:14" ht="13.2">
      <c r="A1837" s="2"/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</row>
    <row r="1838" spans="1:14" ht="13.2">
      <c r="A1838" s="2"/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</row>
    <row r="1839" spans="1:14" ht="13.2">
      <c r="A1839" s="2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</row>
    <row r="1840" spans="1:14" ht="13.2">
      <c r="A1840" s="2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</row>
    <row r="1841" spans="1:14" ht="13.2">
      <c r="A1841" s="2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</row>
    <row r="1842" spans="1:14" ht="13.2">
      <c r="A1842" s="2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</row>
    <row r="1843" spans="1:14" ht="13.2">
      <c r="A1843" s="2"/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</row>
    <row r="1844" spans="1:14" ht="13.2">
      <c r="A1844" s="2"/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</row>
    <row r="1845" spans="1:14" ht="13.2">
      <c r="A1845" s="2"/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</row>
    <row r="1846" spans="1:14" ht="13.2">
      <c r="A1846" s="2"/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</row>
    <row r="1847" spans="1:14" ht="13.2">
      <c r="A1847" s="2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</row>
    <row r="1848" spans="1:14" ht="13.2">
      <c r="A1848" s="2"/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</row>
    <row r="1849" spans="1:14" ht="13.2">
      <c r="A1849" s="2"/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</row>
    <row r="1850" spans="1:14" ht="13.2">
      <c r="A1850" s="2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</row>
    <row r="1851" spans="1:14" ht="13.2">
      <c r="A1851" s="2"/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</row>
    <row r="1852" spans="1:14" ht="13.2">
      <c r="A1852" s="2"/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</row>
    <row r="1853" spans="1:14" ht="13.2">
      <c r="A1853" s="2"/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</row>
    <row r="1854" spans="1:14" ht="13.2">
      <c r="A1854" s="2"/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</row>
    <row r="1855" spans="1:14" ht="13.2">
      <c r="A1855" s="2"/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</row>
    <row r="1856" spans="1:14" ht="13.2">
      <c r="A1856" s="2"/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</row>
    <row r="1857" spans="1:14" ht="13.2">
      <c r="A1857" s="2"/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</row>
    <row r="1858" spans="1:14" ht="13.2">
      <c r="A1858" s="2"/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</row>
    <row r="1859" spans="1:14" ht="13.2">
      <c r="A1859" s="2"/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</row>
    <row r="1860" spans="1:14" ht="13.2">
      <c r="A1860" s="2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</row>
    <row r="1861" spans="1:14" ht="13.2">
      <c r="A1861" s="2"/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</row>
    <row r="1862" spans="1:14" ht="13.2">
      <c r="A1862" s="2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</row>
    <row r="1863" spans="1:14" ht="13.2">
      <c r="A1863" s="2"/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</row>
    <row r="1864" spans="1:14" ht="13.2">
      <c r="A1864" s="2"/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</row>
    <row r="1865" spans="1:14" ht="13.2">
      <c r="A1865" s="2"/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</row>
    <row r="1866" spans="1:14" ht="13.2">
      <c r="A1866" s="2"/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</row>
    <row r="1867" spans="1:14" ht="13.2">
      <c r="A1867" s="2"/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</row>
    <row r="1868" spans="1:14" ht="13.2">
      <c r="A1868" s="2"/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</row>
    <row r="1869" spans="1:14" ht="13.2">
      <c r="A1869" s="2"/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</row>
    <row r="1870" spans="1:14" ht="13.2">
      <c r="A1870" s="2"/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</row>
    <row r="1871" spans="1:14" ht="13.2">
      <c r="A1871" s="2"/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</row>
    <row r="1872" spans="1:14" ht="13.2">
      <c r="A1872" s="2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</row>
    <row r="1873" spans="1:14" ht="13.2">
      <c r="A1873" s="2"/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</row>
    <row r="1874" spans="1:14" ht="13.2">
      <c r="A1874" s="2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</row>
    <row r="1875" spans="1:14" ht="13.2">
      <c r="A1875" s="2"/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</row>
    <row r="1876" spans="1:14" ht="13.2">
      <c r="A1876" s="2"/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</row>
    <row r="1877" spans="1:14" ht="13.2">
      <c r="A1877" s="2"/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</row>
    <row r="1878" spans="1:14" ht="13.2">
      <c r="A1878" s="2"/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</row>
    <row r="1879" spans="1:14" ht="13.2">
      <c r="A1879" s="2"/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</row>
    <row r="1880" spans="1:14" ht="13.2">
      <c r="A1880" s="2"/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</row>
    <row r="1881" spans="1:14" ht="13.2">
      <c r="A1881" s="2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</row>
    <row r="1882" spans="1:14" ht="13.2">
      <c r="A1882" s="2"/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</row>
    <row r="1883" spans="1:14" ht="13.2">
      <c r="A1883" s="2"/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</row>
    <row r="1884" spans="1:14" ht="13.2">
      <c r="A1884" s="2"/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</row>
    <row r="1885" spans="1:14" ht="13.2">
      <c r="A1885" s="2"/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</row>
    <row r="1886" spans="1:14" ht="13.2">
      <c r="A1886" s="2"/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</row>
    <row r="1887" spans="1:14" ht="13.2">
      <c r="A1887" s="2"/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</row>
    <row r="1888" spans="1:14" ht="13.2">
      <c r="A1888" s="2"/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</row>
    <row r="1889" spans="1:14" ht="13.2">
      <c r="A1889" s="2"/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</row>
    <row r="1890" spans="1:14" ht="13.2">
      <c r="A1890" s="2"/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</row>
    <row r="1891" spans="1:14" ht="13.2">
      <c r="A1891" s="2"/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</row>
    <row r="1892" spans="1:14" ht="13.2">
      <c r="A1892" s="2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</row>
    <row r="1893" spans="1:14" ht="13.2">
      <c r="A1893" s="2"/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</row>
    <row r="1894" spans="1:14" ht="13.2">
      <c r="A1894" s="2"/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</row>
    <row r="1895" spans="1:14" ht="13.2">
      <c r="A1895" s="2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</row>
    <row r="1896" spans="1:14" ht="13.2">
      <c r="A1896" s="2"/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</row>
    <row r="1897" spans="1:14" ht="13.2">
      <c r="A1897" s="2"/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</row>
    <row r="1898" spans="1:14" ht="13.2">
      <c r="A1898" s="2"/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</row>
    <row r="1899" spans="1:14" ht="13.2">
      <c r="A1899" s="2"/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</row>
    <row r="1900" spans="1:14" ht="13.2">
      <c r="A1900" s="2"/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</row>
    <row r="1901" spans="1:14" ht="13.2">
      <c r="A1901" s="2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</row>
    <row r="1902" spans="1:14" ht="13.2">
      <c r="A1902" s="2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</row>
    <row r="1903" spans="1:14" ht="13.2">
      <c r="A1903" s="2"/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</row>
    <row r="1904" spans="1:14" ht="13.2">
      <c r="A1904" s="2"/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</row>
    <row r="1905" spans="1:14" ht="13.2">
      <c r="A1905" s="2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</row>
    <row r="1906" spans="1:14" ht="13.2">
      <c r="A1906" s="2"/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</row>
    <row r="1907" spans="1:14" ht="13.2">
      <c r="A1907" s="2"/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</row>
    <row r="1908" spans="1:14" ht="13.2">
      <c r="A1908" s="2"/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</row>
    <row r="1909" spans="1:14" ht="13.2">
      <c r="A1909" s="2"/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</row>
    <row r="1910" spans="1:14" ht="13.2">
      <c r="A1910" s="2"/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</row>
    <row r="1911" spans="1:14" ht="13.2">
      <c r="A1911" s="2"/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</row>
    <row r="1912" spans="1:14" ht="13.2">
      <c r="A1912" s="2"/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</row>
    <row r="1913" spans="1:14" ht="13.2">
      <c r="A1913" s="2"/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</row>
    <row r="1914" spans="1:14" ht="13.2">
      <c r="A1914" s="2"/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</row>
    <row r="1915" spans="1:14" ht="13.2">
      <c r="A1915" s="2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</row>
    <row r="1916" spans="1:14" ht="13.2">
      <c r="A1916" s="2"/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</row>
    <row r="1917" spans="1:14" ht="13.2">
      <c r="A1917" s="2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</row>
    <row r="1918" spans="1:14" ht="13.2">
      <c r="A1918" s="2"/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</row>
    <row r="1919" spans="1:14" ht="13.2">
      <c r="A1919" s="2"/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</row>
    <row r="1920" spans="1:14" ht="13.2">
      <c r="A1920" s="2"/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</row>
    <row r="1921" spans="1:14" ht="13.2">
      <c r="A1921" s="2"/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</row>
    <row r="1922" spans="1:14" ht="13.2">
      <c r="A1922" s="2"/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</row>
    <row r="1923" spans="1:14" ht="13.2">
      <c r="A1923" s="2"/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</row>
    <row r="1924" spans="1:14" ht="13.2">
      <c r="A1924" s="2"/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</row>
    <row r="1925" spans="1:14" ht="13.2">
      <c r="A1925" s="2"/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</row>
    <row r="1926" spans="1:14" ht="13.2">
      <c r="A1926" s="2"/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</row>
    <row r="1927" spans="1:14" ht="13.2">
      <c r="A1927" s="2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</row>
    <row r="1928" spans="1:14" ht="13.2">
      <c r="A1928" s="2"/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</row>
    <row r="1929" spans="1:14" ht="13.2">
      <c r="A1929" s="2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</row>
    <row r="1930" spans="1:14" ht="13.2">
      <c r="A1930" s="2"/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</row>
    <row r="1931" spans="1:14" ht="13.2">
      <c r="A1931" s="2"/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</row>
    <row r="1932" spans="1:14" ht="13.2">
      <c r="A1932" s="2"/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</row>
    <row r="1933" spans="1:14" ht="13.2">
      <c r="A1933" s="2"/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</row>
    <row r="1934" spans="1:14" ht="13.2">
      <c r="A1934" s="2"/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</row>
    <row r="1935" spans="1:14" ht="13.2">
      <c r="A1935" s="2"/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</row>
    <row r="1936" spans="1:14" ht="13.2">
      <c r="A1936" s="2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</row>
    <row r="1937" spans="1:14" ht="13.2">
      <c r="A1937" s="2"/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</row>
    <row r="1938" spans="1:14" ht="13.2">
      <c r="A1938" s="2"/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</row>
    <row r="1939" spans="1:14" ht="13.2">
      <c r="A1939" s="2"/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</row>
    <row r="1940" spans="1:14" ht="13.2">
      <c r="A1940" s="2"/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</row>
    <row r="1941" spans="1:14" ht="13.2">
      <c r="A1941" s="2"/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</row>
    <row r="1942" spans="1:14" ht="13.2">
      <c r="A1942" s="2"/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</row>
    <row r="1943" spans="1:14" ht="13.2">
      <c r="A1943" s="2"/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</row>
    <row r="1944" spans="1:14" ht="13.2">
      <c r="A1944" s="2"/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</row>
    <row r="1945" spans="1:14" ht="13.2">
      <c r="A1945" s="2"/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</row>
    <row r="1946" spans="1:14" ht="13.2">
      <c r="A1946" s="2"/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</row>
    <row r="1947" spans="1:14" ht="13.2">
      <c r="A1947" s="2"/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</row>
    <row r="1948" spans="1:14" ht="13.2">
      <c r="A1948" s="2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</row>
    <row r="1949" spans="1:14" ht="13.2">
      <c r="A1949" s="2"/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</row>
    <row r="1950" spans="1:14" ht="13.2">
      <c r="A1950" s="2"/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</row>
    <row r="1951" spans="1:14" ht="13.2">
      <c r="A1951" s="2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</row>
    <row r="1952" spans="1:14" ht="13.2">
      <c r="A1952" s="2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</row>
    <row r="1953" spans="1:14" ht="13.2">
      <c r="A1953" s="2"/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</row>
    <row r="1954" spans="1:14" ht="13.2">
      <c r="A1954" s="2"/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</row>
    <row r="1955" spans="1:14" ht="13.2">
      <c r="A1955" s="2"/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</row>
    <row r="1956" spans="1:14" ht="13.2">
      <c r="A1956" s="2"/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</row>
    <row r="1957" spans="1:14" ht="13.2">
      <c r="A1957" s="2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</row>
    <row r="1958" spans="1:14" ht="13.2">
      <c r="A1958" s="2"/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</row>
    <row r="1959" spans="1:14" ht="13.2">
      <c r="A1959" s="2"/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</row>
    <row r="1960" spans="1:14" ht="13.2">
      <c r="A1960" s="2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</row>
    <row r="1961" spans="1:14" ht="13.2">
      <c r="A1961" s="2"/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</row>
    <row r="1962" spans="1:14" ht="13.2">
      <c r="A1962" s="2"/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</row>
    <row r="1963" spans="1:14" ht="13.2">
      <c r="A1963" s="2"/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</row>
    <row r="1964" spans="1:14" ht="13.2">
      <c r="A1964" s="2"/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</row>
    <row r="1965" spans="1:14" ht="13.2">
      <c r="A1965" s="2"/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</row>
    <row r="1966" spans="1:14" ht="13.2">
      <c r="A1966" s="2"/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</row>
    <row r="1967" spans="1:14" ht="13.2">
      <c r="A1967" s="2"/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</row>
    <row r="1968" spans="1:14" ht="13.2">
      <c r="A1968" s="2"/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</row>
    <row r="1969" spans="1:14" ht="13.2">
      <c r="A1969" s="2"/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</row>
    <row r="1970" spans="1:14" ht="13.2">
      <c r="A1970" s="2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</row>
    <row r="1971" spans="1:14" ht="13.2">
      <c r="A1971" s="2"/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</row>
    <row r="1972" spans="1:14" ht="13.2">
      <c r="A1972" s="2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</row>
    <row r="1973" spans="1:14" ht="13.2">
      <c r="A1973" s="2"/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</row>
    <row r="1974" spans="1:14" ht="13.2">
      <c r="A1974" s="2"/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</row>
    <row r="1975" spans="1:14" ht="13.2">
      <c r="A1975" s="2"/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</row>
    <row r="1976" spans="1:14" ht="13.2">
      <c r="A1976" s="2"/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</row>
    <row r="1977" spans="1:14" ht="13.2">
      <c r="A1977" s="2"/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</row>
    <row r="1978" spans="1:14" ht="13.2">
      <c r="A1978" s="2"/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</row>
    <row r="1979" spans="1:14" ht="13.2">
      <c r="A1979" s="2"/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</row>
    <row r="1980" spans="1:14" ht="13.2">
      <c r="A1980" s="2"/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</row>
    <row r="1981" spans="1:14" ht="13.2">
      <c r="A1981" s="2"/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</row>
    <row r="1982" spans="1:14" ht="13.2">
      <c r="A1982" s="2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</row>
    <row r="1983" spans="1:14" ht="13.2">
      <c r="A1983" s="2"/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</row>
    <row r="1984" spans="1:14" ht="13.2">
      <c r="A1984" s="2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</row>
    <row r="1985" spans="1:14" ht="13.2">
      <c r="A1985" s="2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</row>
    <row r="1986" spans="1:14" ht="13.2">
      <c r="A1986" s="2"/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</row>
    <row r="1987" spans="1:14" ht="13.2">
      <c r="A1987" s="2"/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</row>
    <row r="1988" spans="1:14" ht="13.2">
      <c r="A1988" s="2"/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</row>
    <row r="1989" spans="1:14" ht="13.2">
      <c r="A1989" s="2"/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</row>
    <row r="1990" spans="1:14" ht="13.2">
      <c r="A1990" s="2"/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</row>
    <row r="1991" spans="1:14" ht="13.2">
      <c r="A1991" s="2"/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</row>
    <row r="1992" spans="1:14" ht="13.2">
      <c r="A1992" s="2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</row>
    <row r="1993" spans="1:14" ht="13.2">
      <c r="A1993" s="2"/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</row>
    <row r="1994" spans="1:14" ht="13.2">
      <c r="A1994" s="2"/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</row>
    <row r="1995" spans="1:14" ht="13.2">
      <c r="A1995" s="2"/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</row>
    <row r="1996" spans="1:14" ht="13.2">
      <c r="A1996" s="2"/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</row>
    <row r="1997" spans="1:14" ht="13.2">
      <c r="A1997" s="2"/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</row>
    <row r="1998" spans="1:14" ht="13.2">
      <c r="A1998" s="2"/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</row>
    <row r="1999" spans="1:14" ht="13.2">
      <c r="A1999" s="2"/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</row>
    <row r="2000" spans="1:14" ht="13.2">
      <c r="A2000" s="2"/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</row>
    <row r="2001" spans="1:14" ht="13.2">
      <c r="A2001" s="2"/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</row>
    <row r="2002" spans="1:14" ht="13.2">
      <c r="A2002" s="2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</row>
    <row r="2003" spans="1:14" ht="13.2">
      <c r="A2003" s="2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</row>
    <row r="2004" spans="1:14" ht="13.2">
      <c r="A2004" s="2"/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</row>
    <row r="2005" spans="1:14" ht="13.2">
      <c r="A2005" s="2"/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</row>
    <row r="2006" spans="1:14" ht="13.2">
      <c r="A2006" s="2"/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</row>
    <row r="2007" spans="1:14" ht="13.2">
      <c r="A2007" s="2"/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</row>
    <row r="2008" spans="1:14" ht="13.2">
      <c r="A2008" s="2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FFFF"/>
    <outlinePr summaryBelow="0" summaryRight="0"/>
  </sheetPr>
  <dimension ref="A1:V931"/>
  <sheetViews>
    <sheetView workbookViewId="0">
      <pane ySplit="1" topLeftCell="A816" activePane="bottomLeft" state="frozen"/>
      <selection pane="bottomLeft" activeCell="F2" sqref="F2:G830"/>
    </sheetView>
  </sheetViews>
  <sheetFormatPr baseColWidth="10" defaultColWidth="12.6640625" defaultRowHeight="15.75" customHeight="1"/>
  <cols>
    <col min="2" max="2" width="17.109375" customWidth="1"/>
    <col min="3" max="3" width="24.88671875" customWidth="1"/>
    <col min="4" max="4" width="22.77734375" customWidth="1"/>
    <col min="5" max="5" width="35.109375" customWidth="1"/>
    <col min="8" max="8" width="22.6640625" customWidth="1"/>
    <col min="9" max="9" width="18.44140625" customWidth="1"/>
    <col min="10" max="10" width="35.109375" customWidth="1"/>
    <col min="12" max="12" width="13" customWidth="1"/>
    <col min="14" max="14" width="14" customWidth="1"/>
    <col min="15" max="15" width="22.21875" customWidth="1"/>
  </cols>
  <sheetData>
    <row r="1" spans="1:17" ht="13.2">
      <c r="A1" s="28" t="s">
        <v>15</v>
      </c>
      <c r="B1" s="28" t="s">
        <v>16</v>
      </c>
      <c r="C1" s="29" t="s">
        <v>17</v>
      </c>
      <c r="D1" s="28" t="s">
        <v>18</v>
      </c>
      <c r="E1" s="28" t="s">
        <v>19</v>
      </c>
      <c r="F1" s="28" t="s">
        <v>20</v>
      </c>
      <c r="G1" s="28" t="s">
        <v>21</v>
      </c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 ht="13.2">
      <c r="A2" s="42">
        <v>45660</v>
      </c>
      <c r="B2" s="21">
        <v>1</v>
      </c>
      <c r="C2" s="10" t="s">
        <v>22</v>
      </c>
      <c r="D2" s="10" t="s">
        <v>23</v>
      </c>
      <c r="E2" s="3" t="s">
        <v>24</v>
      </c>
      <c r="F2" s="3">
        <v>12.2</v>
      </c>
      <c r="G2" s="3">
        <v>12.2</v>
      </c>
      <c r="H2" s="2"/>
      <c r="I2" s="2"/>
      <c r="J2" s="2"/>
      <c r="K2" s="2"/>
      <c r="L2" s="2"/>
      <c r="M2" s="2"/>
      <c r="N2" s="2"/>
      <c r="O2" s="2"/>
      <c r="P2" s="2"/>
      <c r="Q2" s="2"/>
    </row>
    <row r="3" spans="1:17" ht="13.2">
      <c r="A3" s="42">
        <v>45661</v>
      </c>
      <c r="B3" s="21">
        <v>1</v>
      </c>
      <c r="C3" s="10" t="s">
        <v>25</v>
      </c>
      <c r="D3" s="10" t="s">
        <v>25</v>
      </c>
      <c r="E3" s="3" t="s">
        <v>26</v>
      </c>
      <c r="F3" s="3">
        <v>280</v>
      </c>
      <c r="G3" s="3">
        <v>280</v>
      </c>
      <c r="H3" s="2"/>
      <c r="I3" s="2"/>
      <c r="J3" s="2"/>
      <c r="K3" s="2"/>
      <c r="L3" s="2"/>
      <c r="M3" s="2"/>
      <c r="N3" s="2"/>
      <c r="O3" s="2"/>
      <c r="P3" s="2"/>
      <c r="Q3" s="2"/>
    </row>
    <row r="4" spans="1:17" ht="13.2">
      <c r="A4" s="42">
        <v>45661</v>
      </c>
      <c r="B4" s="21">
        <v>1</v>
      </c>
      <c r="C4" s="10" t="s">
        <v>27</v>
      </c>
      <c r="D4" s="10" t="s">
        <v>27</v>
      </c>
      <c r="E4" s="3" t="s">
        <v>28</v>
      </c>
      <c r="F4" s="3">
        <v>195</v>
      </c>
      <c r="G4" s="3">
        <v>195</v>
      </c>
      <c r="H4" s="2"/>
      <c r="I4" s="2"/>
      <c r="J4" s="2"/>
      <c r="K4" s="2"/>
      <c r="L4" s="2"/>
      <c r="M4" s="2"/>
      <c r="N4" s="2"/>
      <c r="O4" s="2"/>
      <c r="P4" s="2"/>
      <c r="Q4" s="2"/>
    </row>
    <row r="5" spans="1:17" ht="13.2">
      <c r="A5" s="42">
        <v>45663</v>
      </c>
      <c r="B5" s="21">
        <v>1</v>
      </c>
      <c r="C5" s="10" t="s">
        <v>27</v>
      </c>
      <c r="D5" s="10" t="s">
        <v>27</v>
      </c>
      <c r="E5" s="3" t="s">
        <v>28</v>
      </c>
      <c r="F5" s="3">
        <v>195</v>
      </c>
      <c r="G5" s="3">
        <v>195</v>
      </c>
      <c r="H5" s="2"/>
      <c r="I5" s="2"/>
      <c r="J5" s="2"/>
      <c r="K5" s="2"/>
      <c r="L5" s="2"/>
      <c r="M5" s="2"/>
      <c r="N5" s="2"/>
      <c r="O5" s="2"/>
      <c r="P5" s="2"/>
      <c r="Q5" s="2"/>
    </row>
    <row r="6" spans="1:17" ht="13.2">
      <c r="A6" s="42">
        <v>45664</v>
      </c>
      <c r="B6" s="21">
        <v>1</v>
      </c>
      <c r="C6" s="10" t="s">
        <v>22</v>
      </c>
      <c r="D6" s="10" t="s">
        <v>23</v>
      </c>
      <c r="E6" s="3" t="s">
        <v>29</v>
      </c>
      <c r="F6" s="3">
        <v>719.5</v>
      </c>
      <c r="G6" s="3">
        <v>719.5</v>
      </c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ht="13.2">
      <c r="A7" s="42">
        <v>45664</v>
      </c>
      <c r="B7" s="21">
        <v>1</v>
      </c>
      <c r="C7" s="10" t="s">
        <v>27</v>
      </c>
      <c r="D7" s="10" t="s">
        <v>27</v>
      </c>
      <c r="E7" s="3" t="s">
        <v>30</v>
      </c>
      <c r="F7" s="3">
        <v>125</v>
      </c>
      <c r="G7" s="3">
        <v>125</v>
      </c>
      <c r="H7" s="2"/>
      <c r="I7" s="2"/>
      <c r="J7" s="2"/>
      <c r="K7" s="2"/>
      <c r="L7" s="2"/>
      <c r="M7" s="2"/>
      <c r="N7" s="2"/>
      <c r="O7" s="2"/>
      <c r="P7" s="2"/>
      <c r="Q7" s="2"/>
    </row>
    <row r="8" spans="1:17" ht="13.2">
      <c r="A8" s="42">
        <v>45665</v>
      </c>
      <c r="B8" s="21">
        <v>1</v>
      </c>
      <c r="C8" s="10" t="s">
        <v>31</v>
      </c>
      <c r="D8" s="10" t="s">
        <v>31</v>
      </c>
      <c r="E8" s="3" t="s">
        <v>32</v>
      </c>
      <c r="F8" s="3">
        <v>13.2</v>
      </c>
      <c r="G8" s="3">
        <v>13.2</v>
      </c>
      <c r="H8" s="2"/>
      <c r="I8" s="2"/>
      <c r="J8" s="2"/>
      <c r="K8" s="2"/>
      <c r="L8" s="2"/>
      <c r="M8" s="2"/>
      <c r="N8" s="2"/>
      <c r="O8" s="2"/>
      <c r="P8" s="2"/>
      <c r="Q8" s="2"/>
    </row>
    <row r="9" spans="1:17" ht="13.2">
      <c r="A9" s="42">
        <v>45665</v>
      </c>
      <c r="B9" s="21">
        <v>1</v>
      </c>
      <c r="C9" s="10" t="s">
        <v>33</v>
      </c>
      <c r="D9" s="10" t="s">
        <v>23</v>
      </c>
      <c r="E9" s="3" t="s">
        <v>34</v>
      </c>
      <c r="F9" s="3">
        <v>340</v>
      </c>
      <c r="G9" s="3">
        <v>340</v>
      </c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 ht="13.2">
      <c r="A10" s="42">
        <v>45666</v>
      </c>
      <c r="B10" s="21">
        <v>1</v>
      </c>
      <c r="C10" s="10" t="s">
        <v>35</v>
      </c>
      <c r="D10" s="10" t="s">
        <v>23</v>
      </c>
      <c r="E10" s="3" t="s">
        <v>36</v>
      </c>
      <c r="F10" s="3">
        <v>44.4</v>
      </c>
      <c r="G10" s="3">
        <v>44.4</v>
      </c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 ht="13.2">
      <c r="A11" s="42">
        <v>45666</v>
      </c>
      <c r="B11" s="21">
        <v>1</v>
      </c>
      <c r="C11" s="10" t="s">
        <v>31</v>
      </c>
      <c r="D11" s="10" t="s">
        <v>31</v>
      </c>
      <c r="E11" s="3" t="s">
        <v>37</v>
      </c>
      <c r="F11" s="3">
        <v>32</v>
      </c>
      <c r="G11" s="3">
        <v>32</v>
      </c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 ht="13.2">
      <c r="A12" s="42">
        <v>45666</v>
      </c>
      <c r="B12" s="21">
        <v>1</v>
      </c>
      <c r="C12" s="10" t="s">
        <v>33</v>
      </c>
      <c r="D12" s="10" t="s">
        <v>23</v>
      </c>
      <c r="E12" s="3" t="s">
        <v>38</v>
      </c>
      <c r="F12" s="3">
        <v>273.3</v>
      </c>
      <c r="G12" s="3">
        <v>273.3</v>
      </c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7" ht="13.2">
      <c r="A13" s="42">
        <v>45666</v>
      </c>
      <c r="B13" s="21">
        <v>1</v>
      </c>
      <c r="C13" s="10" t="s">
        <v>27</v>
      </c>
      <c r="D13" s="10" t="s">
        <v>27</v>
      </c>
      <c r="E13" s="3" t="s">
        <v>39</v>
      </c>
      <c r="F13" s="3">
        <v>195</v>
      </c>
      <c r="G13" s="3">
        <v>195</v>
      </c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1:17" ht="13.2">
      <c r="A14" s="65">
        <v>45671</v>
      </c>
      <c r="B14" s="21">
        <v>1</v>
      </c>
      <c r="C14" s="10" t="s">
        <v>40</v>
      </c>
      <c r="D14" s="10" t="s">
        <v>40</v>
      </c>
      <c r="E14" s="3" t="s">
        <v>41</v>
      </c>
      <c r="F14" s="3">
        <v>315</v>
      </c>
      <c r="G14" s="3">
        <v>315</v>
      </c>
      <c r="H14" s="2"/>
      <c r="I14" s="2"/>
      <c r="J14" s="2"/>
      <c r="K14" s="2"/>
      <c r="L14" s="2"/>
      <c r="M14" s="2"/>
      <c r="N14" s="2"/>
      <c r="O14" s="2"/>
      <c r="P14" s="2"/>
      <c r="Q14" s="2"/>
    </row>
    <row r="15" spans="1:17" ht="13.2">
      <c r="A15" s="65">
        <v>45677</v>
      </c>
      <c r="B15" s="21">
        <v>1</v>
      </c>
      <c r="C15" s="10" t="s">
        <v>33</v>
      </c>
      <c r="D15" s="10" t="s">
        <v>23</v>
      </c>
      <c r="E15" s="3" t="s">
        <v>42</v>
      </c>
      <c r="F15" s="3">
        <v>560</v>
      </c>
      <c r="G15" s="3">
        <v>560</v>
      </c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1:17" ht="13.2">
      <c r="A16" s="65">
        <v>45677</v>
      </c>
      <c r="B16" s="21">
        <v>1</v>
      </c>
      <c r="C16" s="10" t="s">
        <v>31</v>
      </c>
      <c r="D16" s="10" t="s">
        <v>31</v>
      </c>
      <c r="E16" s="3" t="s">
        <v>43</v>
      </c>
      <c r="F16" s="3">
        <v>2</v>
      </c>
      <c r="G16" s="3">
        <v>2</v>
      </c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1:17" ht="13.2">
      <c r="A17" s="65">
        <v>45678</v>
      </c>
      <c r="B17" s="21">
        <v>1</v>
      </c>
      <c r="C17" s="10" t="s">
        <v>31</v>
      </c>
      <c r="D17" s="10" t="s">
        <v>31</v>
      </c>
      <c r="E17" s="3" t="s">
        <v>13</v>
      </c>
      <c r="F17" s="3">
        <v>19</v>
      </c>
      <c r="G17" s="3">
        <v>19</v>
      </c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1:17" ht="13.2">
      <c r="A18" s="65">
        <v>45681</v>
      </c>
      <c r="B18" s="21">
        <v>1</v>
      </c>
      <c r="C18" s="10" t="s">
        <v>31</v>
      </c>
      <c r="D18" s="10" t="s">
        <v>31</v>
      </c>
      <c r="E18" s="3" t="s">
        <v>44</v>
      </c>
      <c r="F18" s="3">
        <v>72</v>
      </c>
      <c r="G18" s="3">
        <v>72</v>
      </c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17" ht="13.2">
      <c r="A19" s="65">
        <v>45681</v>
      </c>
      <c r="B19" s="21">
        <v>1</v>
      </c>
      <c r="C19" s="10" t="s">
        <v>35</v>
      </c>
      <c r="D19" s="10" t="s">
        <v>23</v>
      </c>
      <c r="E19" s="3" t="s">
        <v>36</v>
      </c>
      <c r="F19" s="3">
        <v>15.6</v>
      </c>
      <c r="G19" s="3">
        <v>15.6</v>
      </c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17" ht="13.2">
      <c r="A20" s="65">
        <v>45681</v>
      </c>
      <c r="B20" s="21">
        <v>1</v>
      </c>
      <c r="C20" s="10" t="s">
        <v>33</v>
      </c>
      <c r="D20" s="10" t="s">
        <v>23</v>
      </c>
      <c r="E20" s="3" t="s">
        <v>45</v>
      </c>
      <c r="F20" s="3">
        <v>491.7</v>
      </c>
      <c r="G20" s="3">
        <v>491.7</v>
      </c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17" ht="13.2">
      <c r="A21" s="65">
        <v>45681</v>
      </c>
      <c r="B21" s="21">
        <v>1</v>
      </c>
      <c r="C21" s="10" t="s">
        <v>33</v>
      </c>
      <c r="D21" s="10" t="s">
        <v>23</v>
      </c>
      <c r="E21" s="3" t="s">
        <v>46</v>
      </c>
      <c r="F21" s="3">
        <v>510</v>
      </c>
      <c r="G21" s="3">
        <v>510</v>
      </c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17" ht="13.2">
      <c r="A22" s="65">
        <v>45682</v>
      </c>
      <c r="B22" s="21">
        <v>1</v>
      </c>
      <c r="C22" s="10" t="s">
        <v>31</v>
      </c>
      <c r="D22" s="10" t="s">
        <v>31</v>
      </c>
      <c r="E22" s="3" t="s">
        <v>1</v>
      </c>
      <c r="F22" s="3">
        <v>21</v>
      </c>
      <c r="G22" s="3">
        <v>21</v>
      </c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7" ht="13.2">
      <c r="A23" s="65">
        <v>45684</v>
      </c>
      <c r="B23" s="21">
        <v>1</v>
      </c>
      <c r="C23" s="10" t="s">
        <v>31</v>
      </c>
      <c r="D23" s="10" t="s">
        <v>31</v>
      </c>
      <c r="E23" s="3" t="s">
        <v>1</v>
      </c>
      <c r="F23" s="3">
        <v>20</v>
      </c>
      <c r="G23" s="3">
        <v>20</v>
      </c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1:17" ht="13.2">
      <c r="A24" s="65">
        <v>45685</v>
      </c>
      <c r="B24" s="21">
        <v>1</v>
      </c>
      <c r="C24" s="10" t="s">
        <v>22</v>
      </c>
      <c r="D24" s="10" t="s">
        <v>23</v>
      </c>
      <c r="E24" s="22" t="s">
        <v>47</v>
      </c>
      <c r="F24" s="22">
        <v>120</v>
      </c>
      <c r="G24" s="22">
        <v>120</v>
      </c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17" ht="13.2">
      <c r="A25" s="158">
        <v>45685</v>
      </c>
      <c r="B25" s="23">
        <v>3</v>
      </c>
      <c r="C25" s="23" t="s">
        <v>31</v>
      </c>
      <c r="D25" s="23" t="s">
        <v>31</v>
      </c>
      <c r="E25" s="23" t="s">
        <v>48</v>
      </c>
      <c r="F25" s="23">
        <v>128.47999999999999</v>
      </c>
      <c r="G25" s="23">
        <f t="shared" ref="G25:G32" si="0">F25*B25</f>
        <v>385.43999999999994</v>
      </c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17" ht="13.2">
      <c r="A26" s="158">
        <v>45685</v>
      </c>
      <c r="B26" s="23">
        <v>1</v>
      </c>
      <c r="C26" s="23" t="s">
        <v>31</v>
      </c>
      <c r="D26" s="23" t="s">
        <v>31</v>
      </c>
      <c r="E26" s="23" t="s">
        <v>49</v>
      </c>
      <c r="F26" s="23">
        <v>146.9</v>
      </c>
      <c r="G26" s="23">
        <f t="shared" si="0"/>
        <v>146.9</v>
      </c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17" ht="13.2">
      <c r="A27" s="158">
        <v>45685</v>
      </c>
      <c r="B27" s="23">
        <v>1</v>
      </c>
      <c r="C27" s="23" t="s">
        <v>31</v>
      </c>
      <c r="D27" s="23" t="s">
        <v>31</v>
      </c>
      <c r="E27" s="23" t="s">
        <v>50</v>
      </c>
      <c r="F27" s="23">
        <v>300</v>
      </c>
      <c r="G27" s="23">
        <f t="shared" si="0"/>
        <v>300</v>
      </c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17" ht="13.2">
      <c r="A28" s="158">
        <v>45685</v>
      </c>
      <c r="B28" s="23">
        <v>1</v>
      </c>
      <c r="C28" s="23" t="s">
        <v>31</v>
      </c>
      <c r="D28" s="23" t="s">
        <v>31</v>
      </c>
      <c r="E28" s="23" t="s">
        <v>51</v>
      </c>
      <c r="F28" s="23">
        <v>300</v>
      </c>
      <c r="G28" s="23">
        <f t="shared" si="0"/>
        <v>300</v>
      </c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17" ht="13.2">
      <c r="A29" s="158">
        <v>45685</v>
      </c>
      <c r="B29" s="23">
        <v>1</v>
      </c>
      <c r="C29" s="23" t="s">
        <v>31</v>
      </c>
      <c r="D29" s="23" t="s">
        <v>31</v>
      </c>
      <c r="E29" s="23" t="s">
        <v>52</v>
      </c>
      <c r="F29" s="23">
        <v>100</v>
      </c>
      <c r="G29" s="23">
        <f t="shared" si="0"/>
        <v>100</v>
      </c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17" ht="13.2">
      <c r="A30" s="158">
        <v>45685</v>
      </c>
      <c r="B30" s="23">
        <v>1</v>
      </c>
      <c r="C30" s="23" t="s">
        <v>31</v>
      </c>
      <c r="D30" s="23" t="s">
        <v>31</v>
      </c>
      <c r="E30" s="23" t="s">
        <v>53</v>
      </c>
      <c r="F30" s="23">
        <v>160</v>
      </c>
      <c r="G30" s="23">
        <f t="shared" si="0"/>
        <v>160</v>
      </c>
      <c r="H30" s="2"/>
      <c r="I30" s="2"/>
      <c r="J30" s="2"/>
      <c r="K30" s="2"/>
      <c r="L30" s="2"/>
      <c r="M30" s="2"/>
      <c r="N30" s="2"/>
      <c r="O30" s="2"/>
      <c r="P30" s="2"/>
      <c r="Q30" s="2"/>
    </row>
    <row r="31" spans="1:17" ht="13.2">
      <c r="A31" s="158">
        <v>45685</v>
      </c>
      <c r="B31" s="23">
        <v>1</v>
      </c>
      <c r="C31" s="23" t="s">
        <v>31</v>
      </c>
      <c r="D31" s="23" t="s">
        <v>31</v>
      </c>
      <c r="E31" s="23" t="s">
        <v>54</v>
      </c>
      <c r="F31" s="23">
        <v>100</v>
      </c>
      <c r="G31" s="23">
        <f t="shared" si="0"/>
        <v>100</v>
      </c>
      <c r="H31" s="2"/>
      <c r="I31" s="2"/>
      <c r="J31" s="2"/>
      <c r="K31" s="2"/>
      <c r="L31" s="2"/>
      <c r="M31" s="2"/>
      <c r="N31" s="2"/>
      <c r="O31" s="2"/>
      <c r="P31" s="2"/>
      <c r="Q31" s="2"/>
    </row>
    <row r="32" spans="1:17" ht="13.2">
      <c r="A32" s="158">
        <v>45685</v>
      </c>
      <c r="B32" s="10">
        <v>1</v>
      </c>
      <c r="C32" s="10" t="s">
        <v>55</v>
      </c>
      <c r="D32" s="10" t="s">
        <v>56</v>
      </c>
      <c r="E32" s="10" t="s">
        <v>57</v>
      </c>
      <c r="F32" s="10">
        <v>673.66</v>
      </c>
      <c r="G32" s="10">
        <f t="shared" si="0"/>
        <v>673.66</v>
      </c>
      <c r="H32" s="2"/>
      <c r="I32" s="2"/>
      <c r="J32" s="2"/>
      <c r="K32" s="2"/>
      <c r="L32" s="2"/>
      <c r="M32" s="2"/>
      <c r="N32" s="2"/>
      <c r="O32" s="2"/>
      <c r="P32" s="2"/>
      <c r="Q32" s="2"/>
    </row>
    <row r="33" spans="1:17" ht="13.2">
      <c r="A33" s="42">
        <v>45693</v>
      </c>
      <c r="B33" s="21">
        <v>1</v>
      </c>
      <c r="C33" s="10" t="s">
        <v>31</v>
      </c>
      <c r="D33" s="10" t="s">
        <v>31</v>
      </c>
      <c r="E33" s="33" t="s">
        <v>58</v>
      </c>
      <c r="F33" s="232">
        <v>26.3</v>
      </c>
      <c r="G33" s="232">
        <v>26.3</v>
      </c>
      <c r="H33" s="2"/>
      <c r="I33" s="2"/>
      <c r="J33" s="2"/>
      <c r="K33" s="2"/>
      <c r="L33" s="2"/>
      <c r="M33" s="2"/>
      <c r="N33" s="2"/>
      <c r="O33" s="2"/>
      <c r="P33" s="2"/>
      <c r="Q33" s="2"/>
    </row>
    <row r="34" spans="1:17" ht="13.2">
      <c r="A34" s="228">
        <v>45693</v>
      </c>
      <c r="B34" s="21">
        <v>1</v>
      </c>
      <c r="C34" s="10" t="s">
        <v>33</v>
      </c>
      <c r="D34" s="10" t="s">
        <v>23</v>
      </c>
      <c r="E34" s="3" t="s">
        <v>29</v>
      </c>
      <c r="F34" s="3">
        <v>820</v>
      </c>
      <c r="G34" s="3">
        <v>820</v>
      </c>
      <c r="H34" s="2"/>
      <c r="I34" s="2"/>
      <c r="J34" s="2"/>
      <c r="K34" s="2"/>
      <c r="L34" s="2"/>
      <c r="M34" s="2"/>
      <c r="N34" s="2"/>
      <c r="O34" s="2"/>
      <c r="P34" s="2"/>
      <c r="Q34" s="2"/>
    </row>
    <row r="35" spans="1:17" ht="13.2">
      <c r="A35" s="228">
        <v>45693</v>
      </c>
      <c r="B35" s="21">
        <v>1</v>
      </c>
      <c r="C35" s="10" t="s">
        <v>31</v>
      </c>
      <c r="D35" s="10" t="s">
        <v>31</v>
      </c>
      <c r="E35" s="33" t="s">
        <v>59</v>
      </c>
      <c r="F35" s="3">
        <v>21.5</v>
      </c>
      <c r="G35" s="3">
        <v>21.5</v>
      </c>
      <c r="H35" s="2"/>
      <c r="I35" s="2"/>
      <c r="J35" s="2"/>
      <c r="K35" s="2"/>
      <c r="L35" s="2"/>
      <c r="M35" s="2"/>
      <c r="N35" s="2"/>
      <c r="O35" s="2"/>
      <c r="P35" s="2"/>
      <c r="Q35" s="2"/>
    </row>
    <row r="36" spans="1:17" ht="13.2">
      <c r="A36" s="228">
        <v>45693</v>
      </c>
      <c r="B36" s="21">
        <v>1</v>
      </c>
      <c r="C36" s="10" t="s">
        <v>60</v>
      </c>
      <c r="D36" s="10" t="s">
        <v>23</v>
      </c>
      <c r="E36" s="3" t="s">
        <v>61</v>
      </c>
      <c r="F36" s="3">
        <v>225</v>
      </c>
      <c r="G36" s="3">
        <v>225</v>
      </c>
      <c r="H36" s="2"/>
      <c r="I36" s="2"/>
      <c r="J36" s="2"/>
      <c r="K36" s="2"/>
      <c r="L36" s="2"/>
      <c r="M36" s="2"/>
      <c r="N36" s="2"/>
      <c r="O36" s="2"/>
      <c r="P36" s="2"/>
      <c r="Q36" s="2"/>
    </row>
    <row r="37" spans="1:17" ht="13.2">
      <c r="A37" s="228">
        <v>45694</v>
      </c>
      <c r="B37" s="21">
        <v>1</v>
      </c>
      <c r="C37" s="10" t="s">
        <v>31</v>
      </c>
      <c r="D37" s="10" t="s">
        <v>31</v>
      </c>
      <c r="E37" s="33" t="s">
        <v>59</v>
      </c>
      <c r="F37" s="10">
        <v>14.9</v>
      </c>
      <c r="G37" s="10">
        <v>14.9</v>
      </c>
      <c r="H37" s="2"/>
      <c r="I37" s="2"/>
      <c r="J37" s="2"/>
      <c r="K37" s="2"/>
      <c r="L37" s="2"/>
      <c r="M37" s="2"/>
      <c r="N37" s="2"/>
      <c r="O37" s="2"/>
      <c r="P37" s="2"/>
      <c r="Q37" s="2"/>
    </row>
    <row r="38" spans="1:17" ht="13.2">
      <c r="A38" s="228">
        <v>45694</v>
      </c>
      <c r="B38" s="21">
        <v>1</v>
      </c>
      <c r="C38" s="10" t="s">
        <v>60</v>
      </c>
      <c r="D38" s="10" t="s">
        <v>23</v>
      </c>
      <c r="E38" s="10" t="s">
        <v>62</v>
      </c>
      <c r="F38" s="10">
        <v>60</v>
      </c>
      <c r="G38" s="10">
        <v>60</v>
      </c>
      <c r="H38" s="2"/>
      <c r="I38" s="2"/>
      <c r="J38" s="2"/>
      <c r="K38" s="2"/>
      <c r="L38" s="2"/>
      <c r="M38" s="2"/>
      <c r="N38" s="2"/>
      <c r="O38" s="2"/>
      <c r="P38" s="2"/>
      <c r="Q38" s="2"/>
    </row>
    <row r="39" spans="1:17" ht="13.2">
      <c r="A39" s="228">
        <v>45695</v>
      </c>
      <c r="B39" s="21">
        <v>1</v>
      </c>
      <c r="C39" s="10" t="s">
        <v>60</v>
      </c>
      <c r="D39" s="10" t="s">
        <v>23</v>
      </c>
      <c r="E39" s="10" t="s">
        <v>62</v>
      </c>
      <c r="F39" s="10">
        <v>75</v>
      </c>
      <c r="G39" s="10">
        <v>75</v>
      </c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1:17" ht="13.2">
      <c r="A40" s="228">
        <v>45696</v>
      </c>
      <c r="B40" s="21">
        <v>1</v>
      </c>
      <c r="C40" s="10" t="s">
        <v>60</v>
      </c>
      <c r="D40" s="10" t="s">
        <v>23</v>
      </c>
      <c r="E40" s="10" t="s">
        <v>63</v>
      </c>
      <c r="F40" s="10">
        <v>60</v>
      </c>
      <c r="G40" s="10">
        <v>60</v>
      </c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1:17" ht="13.2">
      <c r="A41" s="228">
        <v>45696</v>
      </c>
      <c r="B41" s="21">
        <v>1</v>
      </c>
      <c r="C41" s="10" t="s">
        <v>27</v>
      </c>
      <c r="D41" s="10" t="s">
        <v>27</v>
      </c>
      <c r="E41" s="10" t="s">
        <v>64</v>
      </c>
      <c r="F41" s="10">
        <v>95</v>
      </c>
      <c r="G41" s="10">
        <v>95</v>
      </c>
      <c r="H41" s="2"/>
      <c r="I41" s="2"/>
      <c r="J41" s="2"/>
      <c r="K41" s="2"/>
      <c r="L41" s="2"/>
      <c r="M41" s="2"/>
      <c r="N41" s="2"/>
      <c r="O41" s="2"/>
      <c r="P41" s="2"/>
      <c r="Q41" s="2"/>
    </row>
    <row r="42" spans="1:17" ht="13.2">
      <c r="A42" s="228">
        <v>45696</v>
      </c>
      <c r="B42" s="21">
        <v>1</v>
      </c>
      <c r="C42" s="10" t="s">
        <v>27</v>
      </c>
      <c r="D42" s="10" t="s">
        <v>27</v>
      </c>
      <c r="E42" s="10" t="s">
        <v>64</v>
      </c>
      <c r="F42" s="10">
        <v>145</v>
      </c>
      <c r="G42" s="10">
        <v>145</v>
      </c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1:17" ht="13.2">
      <c r="A43" s="228">
        <v>45696</v>
      </c>
      <c r="B43" s="21">
        <v>1</v>
      </c>
      <c r="C43" s="10" t="s">
        <v>60</v>
      </c>
      <c r="D43" s="10" t="s">
        <v>23</v>
      </c>
      <c r="E43" s="10" t="s">
        <v>65</v>
      </c>
      <c r="F43" s="10">
        <v>3</v>
      </c>
      <c r="G43" s="10">
        <v>3</v>
      </c>
      <c r="H43" s="2"/>
      <c r="I43" s="2"/>
      <c r="J43" s="2"/>
      <c r="K43" s="2"/>
      <c r="L43" s="2"/>
      <c r="M43" s="2"/>
      <c r="N43" s="2"/>
      <c r="O43" s="2"/>
      <c r="P43" s="2"/>
      <c r="Q43" s="2"/>
    </row>
    <row r="44" spans="1:17" ht="13.2">
      <c r="A44" s="228">
        <v>45696</v>
      </c>
      <c r="B44" s="21">
        <v>1</v>
      </c>
      <c r="C44" s="10" t="s">
        <v>60</v>
      </c>
      <c r="D44" s="10" t="s">
        <v>23</v>
      </c>
      <c r="E44" s="10" t="s">
        <v>66</v>
      </c>
      <c r="F44" s="10">
        <v>55</v>
      </c>
      <c r="G44" s="10">
        <v>55</v>
      </c>
      <c r="H44" s="2"/>
      <c r="I44" s="2"/>
      <c r="J44" s="2"/>
      <c r="K44" s="2"/>
      <c r="L44" s="2"/>
      <c r="M44" s="2"/>
      <c r="N44" s="2"/>
      <c r="O44" s="2"/>
      <c r="P44" s="2"/>
      <c r="Q44" s="2"/>
    </row>
    <row r="45" spans="1:17" ht="13.2">
      <c r="A45" s="228">
        <v>45697</v>
      </c>
      <c r="B45" s="21">
        <v>1</v>
      </c>
      <c r="C45" s="10" t="s">
        <v>40</v>
      </c>
      <c r="D45" s="10" t="s">
        <v>40</v>
      </c>
      <c r="E45" s="10" t="s">
        <v>67</v>
      </c>
      <c r="F45" s="10">
        <v>895</v>
      </c>
      <c r="G45" s="10">
        <v>895</v>
      </c>
      <c r="H45" s="2"/>
      <c r="I45" s="2"/>
      <c r="J45" s="2"/>
      <c r="K45" s="2"/>
      <c r="L45" s="2"/>
      <c r="M45" s="2"/>
      <c r="N45" s="2"/>
      <c r="O45" s="2"/>
      <c r="P45" s="2"/>
      <c r="Q45" s="2"/>
    </row>
    <row r="46" spans="1:17" ht="13.2">
      <c r="A46" s="228">
        <v>45698</v>
      </c>
      <c r="B46" s="21">
        <v>1</v>
      </c>
      <c r="C46" s="10" t="s">
        <v>40</v>
      </c>
      <c r="D46" s="10" t="s">
        <v>40</v>
      </c>
      <c r="E46" s="10" t="s">
        <v>68</v>
      </c>
      <c r="F46" s="10">
        <v>517.5</v>
      </c>
      <c r="G46" s="10">
        <v>517.5</v>
      </c>
      <c r="H46" s="2"/>
      <c r="I46" s="2"/>
      <c r="J46" s="2"/>
      <c r="K46" s="2"/>
      <c r="L46" s="2"/>
      <c r="M46" s="2"/>
      <c r="N46" s="2"/>
      <c r="O46" s="2"/>
      <c r="P46" s="2"/>
      <c r="Q46" s="2"/>
    </row>
    <row r="47" spans="1:17" ht="13.2">
      <c r="A47" s="228">
        <v>45699</v>
      </c>
      <c r="B47" s="21">
        <v>1</v>
      </c>
      <c r="C47" s="10" t="s">
        <v>22</v>
      </c>
      <c r="D47" s="10" t="s">
        <v>23</v>
      </c>
      <c r="E47" s="10" t="s">
        <v>69</v>
      </c>
      <c r="F47" s="10">
        <v>120</v>
      </c>
      <c r="G47" s="10">
        <v>120</v>
      </c>
      <c r="H47" s="2"/>
      <c r="I47" s="2"/>
      <c r="J47" s="2"/>
      <c r="K47" s="2"/>
      <c r="L47" s="2"/>
      <c r="M47" s="2"/>
      <c r="N47" s="2"/>
      <c r="O47" s="2"/>
      <c r="P47" s="2"/>
      <c r="Q47" s="2"/>
    </row>
    <row r="48" spans="1:17" ht="13.2">
      <c r="A48" s="228">
        <v>45701</v>
      </c>
      <c r="B48" s="21">
        <v>1</v>
      </c>
      <c r="C48" s="10" t="s">
        <v>60</v>
      </c>
      <c r="D48" s="10" t="s">
        <v>23</v>
      </c>
      <c r="E48" s="10" t="s">
        <v>70</v>
      </c>
      <c r="F48" s="10">
        <v>50</v>
      </c>
      <c r="G48" s="10">
        <v>50</v>
      </c>
      <c r="H48" s="2"/>
      <c r="I48" s="2"/>
      <c r="J48" s="2"/>
      <c r="K48" s="2"/>
      <c r="L48" s="2"/>
      <c r="M48" s="2"/>
      <c r="N48" s="2"/>
      <c r="O48" s="2"/>
      <c r="P48" s="2"/>
      <c r="Q48" s="2"/>
    </row>
    <row r="49" spans="1:17" ht="13.2">
      <c r="A49" s="228">
        <v>45701</v>
      </c>
      <c r="B49" s="21">
        <v>1</v>
      </c>
      <c r="C49" s="10" t="s">
        <v>27</v>
      </c>
      <c r="D49" s="10" t="s">
        <v>27</v>
      </c>
      <c r="E49" s="10" t="s">
        <v>71</v>
      </c>
      <c r="F49" s="10">
        <v>95</v>
      </c>
      <c r="G49" s="10">
        <v>95</v>
      </c>
      <c r="H49" s="2"/>
      <c r="I49" s="2"/>
      <c r="J49" s="2"/>
      <c r="K49" s="2"/>
      <c r="L49" s="2"/>
      <c r="M49" s="2"/>
      <c r="N49" s="2"/>
      <c r="O49" s="2"/>
      <c r="P49" s="2"/>
      <c r="Q49" s="2"/>
    </row>
    <row r="50" spans="1:17" ht="13.2">
      <c r="A50" s="228">
        <v>45701</v>
      </c>
      <c r="B50" s="21">
        <v>1</v>
      </c>
      <c r="C50" s="10" t="s">
        <v>22</v>
      </c>
      <c r="D50" s="10" t="s">
        <v>23</v>
      </c>
      <c r="E50" s="10" t="s">
        <v>72</v>
      </c>
      <c r="F50" s="10">
        <v>60</v>
      </c>
      <c r="G50" s="10">
        <v>60</v>
      </c>
      <c r="H50" s="2"/>
      <c r="I50" s="2"/>
      <c r="J50" s="2"/>
      <c r="K50" s="2"/>
      <c r="L50" s="2"/>
      <c r="M50" s="2"/>
      <c r="N50" s="2"/>
      <c r="O50" s="2"/>
      <c r="P50" s="2"/>
      <c r="Q50" s="2"/>
    </row>
    <row r="51" spans="1:17" ht="13.2">
      <c r="A51" s="228">
        <v>45701</v>
      </c>
      <c r="B51" s="21">
        <v>1</v>
      </c>
      <c r="C51" s="10" t="s">
        <v>73</v>
      </c>
      <c r="D51" s="10" t="s">
        <v>73</v>
      </c>
      <c r="E51" s="10" t="s">
        <v>74</v>
      </c>
      <c r="F51" s="10">
        <v>90</v>
      </c>
      <c r="G51" s="10">
        <v>90</v>
      </c>
      <c r="H51" s="2"/>
      <c r="I51" s="2"/>
      <c r="J51" s="2"/>
      <c r="K51" s="2"/>
      <c r="L51" s="2"/>
      <c r="M51" s="2"/>
      <c r="N51" s="2"/>
      <c r="O51" s="2"/>
      <c r="P51" s="2"/>
      <c r="Q51" s="2"/>
    </row>
    <row r="52" spans="1:17" ht="13.2">
      <c r="A52" s="228">
        <v>45701</v>
      </c>
      <c r="B52" s="21">
        <v>1</v>
      </c>
      <c r="C52" s="10" t="s">
        <v>25</v>
      </c>
      <c r="D52" s="10" t="s">
        <v>25</v>
      </c>
      <c r="E52" s="10" t="s">
        <v>75</v>
      </c>
      <c r="F52" s="10">
        <v>3500</v>
      </c>
      <c r="G52" s="10">
        <v>3500</v>
      </c>
      <c r="H52" s="2"/>
      <c r="I52" s="2"/>
      <c r="J52" s="2"/>
      <c r="K52" s="2"/>
      <c r="L52" s="2"/>
      <c r="M52" s="2"/>
      <c r="N52" s="2"/>
      <c r="O52" s="2"/>
      <c r="P52" s="2"/>
      <c r="Q52" s="2"/>
    </row>
    <row r="53" spans="1:17" ht="13.2">
      <c r="A53" s="229">
        <v>45701</v>
      </c>
      <c r="B53" s="21">
        <v>1</v>
      </c>
      <c r="C53" s="10" t="s">
        <v>27</v>
      </c>
      <c r="D53" s="10" t="s">
        <v>27</v>
      </c>
      <c r="E53" s="34" t="s">
        <v>64</v>
      </c>
      <c r="F53" s="34">
        <v>195</v>
      </c>
      <c r="G53" s="34">
        <v>195</v>
      </c>
      <c r="H53" s="2"/>
      <c r="I53" s="2"/>
      <c r="J53" s="2"/>
      <c r="K53" s="2"/>
      <c r="L53" s="2"/>
      <c r="M53" s="2"/>
      <c r="N53" s="2"/>
      <c r="O53" s="2"/>
      <c r="P53" s="2"/>
      <c r="Q53" s="2"/>
    </row>
    <row r="54" spans="1:17" ht="13.2">
      <c r="A54" s="228">
        <v>45702</v>
      </c>
      <c r="B54" s="21">
        <v>1</v>
      </c>
      <c r="C54" s="12" t="s">
        <v>33</v>
      </c>
      <c r="D54" s="10" t="s">
        <v>23</v>
      </c>
      <c r="E54" s="10" t="s">
        <v>76</v>
      </c>
      <c r="F54" s="10">
        <v>12</v>
      </c>
      <c r="G54" s="10">
        <v>12</v>
      </c>
      <c r="H54" s="2"/>
      <c r="I54" s="2"/>
      <c r="J54" s="2"/>
      <c r="K54" s="2"/>
      <c r="L54" s="2"/>
      <c r="M54" s="2"/>
      <c r="N54" s="2"/>
      <c r="O54" s="2"/>
      <c r="P54" s="2"/>
      <c r="Q54" s="2"/>
    </row>
    <row r="55" spans="1:17" ht="13.2">
      <c r="A55" s="228">
        <v>45702</v>
      </c>
      <c r="B55" s="21">
        <v>1</v>
      </c>
      <c r="C55" s="10" t="s">
        <v>31</v>
      </c>
      <c r="D55" s="10" t="s">
        <v>31</v>
      </c>
      <c r="E55" s="10" t="s">
        <v>66</v>
      </c>
      <c r="F55" s="10">
        <v>55</v>
      </c>
      <c r="G55" s="10">
        <v>55</v>
      </c>
      <c r="H55" s="2"/>
      <c r="I55" s="2"/>
      <c r="J55" s="2"/>
      <c r="K55" s="2"/>
      <c r="L55" s="2"/>
      <c r="M55" s="2"/>
      <c r="N55" s="2"/>
      <c r="O55" s="2"/>
      <c r="P55" s="2"/>
      <c r="Q55" s="2"/>
    </row>
    <row r="56" spans="1:17" ht="13.2">
      <c r="A56" s="228">
        <v>45702</v>
      </c>
      <c r="B56" s="21">
        <v>1</v>
      </c>
      <c r="C56" s="12" t="s">
        <v>33</v>
      </c>
      <c r="D56" s="10" t="s">
        <v>23</v>
      </c>
      <c r="E56" s="10" t="s">
        <v>77</v>
      </c>
      <c r="F56" s="10">
        <v>50</v>
      </c>
      <c r="G56" s="10">
        <v>50</v>
      </c>
      <c r="H56" s="2"/>
      <c r="I56" s="2"/>
      <c r="J56" s="2"/>
      <c r="K56" s="2"/>
      <c r="L56" s="2"/>
      <c r="M56" s="2"/>
      <c r="N56" s="2"/>
      <c r="O56" s="2"/>
      <c r="P56" s="2"/>
      <c r="Q56" s="2"/>
    </row>
    <row r="57" spans="1:17" ht="13.2">
      <c r="A57" s="228">
        <v>45703</v>
      </c>
      <c r="B57" s="21">
        <v>1</v>
      </c>
      <c r="C57" s="12" t="s">
        <v>33</v>
      </c>
      <c r="D57" s="10" t="s">
        <v>23</v>
      </c>
      <c r="E57" s="10" t="s">
        <v>78</v>
      </c>
      <c r="F57" s="10">
        <v>240</v>
      </c>
      <c r="G57" s="10">
        <v>240</v>
      </c>
      <c r="H57" s="2"/>
      <c r="I57" s="2"/>
      <c r="J57" s="2"/>
      <c r="K57" s="2"/>
      <c r="L57" s="2"/>
      <c r="M57" s="2"/>
      <c r="N57" s="2"/>
      <c r="O57" s="2"/>
      <c r="P57" s="2"/>
      <c r="Q57" s="2"/>
    </row>
    <row r="58" spans="1:17" ht="13.2">
      <c r="A58" s="42">
        <v>45703</v>
      </c>
      <c r="B58" s="21">
        <v>1</v>
      </c>
      <c r="C58" s="10" t="s">
        <v>79</v>
      </c>
      <c r="D58" s="10" t="s">
        <v>31</v>
      </c>
      <c r="E58" s="10" t="s">
        <v>80</v>
      </c>
      <c r="F58" s="10">
        <v>500</v>
      </c>
      <c r="G58" s="10">
        <v>500</v>
      </c>
      <c r="H58" s="2"/>
      <c r="I58" s="2"/>
      <c r="J58" s="2"/>
      <c r="K58" s="2"/>
      <c r="L58" s="2"/>
      <c r="M58" s="2"/>
      <c r="N58" s="2"/>
      <c r="O58" s="2"/>
      <c r="P58" s="2"/>
      <c r="Q58" s="2"/>
    </row>
    <row r="59" spans="1:17" ht="13.2">
      <c r="A59" s="42">
        <v>45703</v>
      </c>
      <c r="B59" s="21">
        <v>1</v>
      </c>
      <c r="C59" s="10" t="s">
        <v>79</v>
      </c>
      <c r="D59" s="10" t="s">
        <v>31</v>
      </c>
      <c r="E59" s="10" t="s">
        <v>81</v>
      </c>
      <c r="F59" s="10">
        <v>500</v>
      </c>
      <c r="G59" s="10">
        <v>500</v>
      </c>
      <c r="H59" s="2"/>
      <c r="I59" s="2"/>
      <c r="J59" s="2"/>
      <c r="K59" s="2"/>
      <c r="L59" s="2"/>
      <c r="M59" s="2"/>
      <c r="N59" s="2"/>
      <c r="O59" s="2"/>
      <c r="P59" s="2"/>
      <c r="Q59" s="2"/>
    </row>
    <row r="60" spans="1:17" ht="13.2">
      <c r="A60" s="42">
        <v>45703</v>
      </c>
      <c r="B60" s="21">
        <v>1</v>
      </c>
      <c r="C60" s="10" t="s">
        <v>60</v>
      </c>
      <c r="D60" s="10" t="s">
        <v>23</v>
      </c>
      <c r="E60" s="10" t="s">
        <v>82</v>
      </c>
      <c r="F60" s="10">
        <v>750</v>
      </c>
      <c r="G60" s="10">
        <v>750</v>
      </c>
      <c r="H60" s="2"/>
      <c r="I60" s="2"/>
      <c r="J60" s="2"/>
      <c r="K60" s="2"/>
      <c r="L60" s="2"/>
      <c r="M60" s="2"/>
      <c r="N60" s="2"/>
      <c r="O60" s="2"/>
      <c r="P60" s="2"/>
      <c r="Q60" s="2"/>
    </row>
    <row r="61" spans="1:17" ht="13.2">
      <c r="A61" s="42">
        <v>45703</v>
      </c>
      <c r="B61" s="21">
        <v>1</v>
      </c>
      <c r="C61" s="10" t="s">
        <v>60</v>
      </c>
      <c r="D61" s="10" t="s">
        <v>23</v>
      </c>
      <c r="E61" s="10" t="s">
        <v>83</v>
      </c>
      <c r="F61" s="10">
        <v>900</v>
      </c>
      <c r="G61" s="10">
        <v>900</v>
      </c>
      <c r="H61" s="2"/>
      <c r="I61" s="2"/>
      <c r="J61" s="2"/>
      <c r="K61" s="2"/>
      <c r="L61" s="2"/>
      <c r="M61" s="2"/>
      <c r="N61" s="2"/>
      <c r="O61" s="2"/>
      <c r="P61" s="2"/>
      <c r="Q61" s="2"/>
    </row>
    <row r="62" spans="1:17" ht="13.2">
      <c r="A62" s="42">
        <v>45704</v>
      </c>
      <c r="B62" s="21">
        <v>1</v>
      </c>
      <c r="C62" s="10" t="s">
        <v>56</v>
      </c>
      <c r="D62" s="10" t="s">
        <v>56</v>
      </c>
      <c r="E62" s="10" t="s">
        <v>84</v>
      </c>
      <c r="F62" s="10">
        <v>13742.8</v>
      </c>
      <c r="G62" s="10">
        <v>13742.8</v>
      </c>
      <c r="H62" s="2"/>
      <c r="I62" s="2"/>
      <c r="J62" s="2"/>
      <c r="K62" s="2"/>
      <c r="L62" s="2"/>
      <c r="M62" s="2"/>
      <c r="N62" s="2"/>
      <c r="O62" s="2"/>
      <c r="P62" s="2"/>
      <c r="Q62" s="2"/>
    </row>
    <row r="63" spans="1:17" ht="13.2">
      <c r="A63" s="42">
        <v>45705</v>
      </c>
      <c r="B63" s="21">
        <v>1</v>
      </c>
      <c r="C63" s="10" t="s">
        <v>33</v>
      </c>
      <c r="D63" s="10" t="s">
        <v>23</v>
      </c>
      <c r="E63" s="10" t="s">
        <v>85</v>
      </c>
      <c r="F63" s="10">
        <v>399</v>
      </c>
      <c r="G63" s="10">
        <v>399</v>
      </c>
      <c r="H63" s="2"/>
      <c r="I63" s="2"/>
      <c r="J63" s="2"/>
      <c r="K63" s="2"/>
      <c r="L63" s="2"/>
      <c r="M63" s="2"/>
      <c r="N63" s="2"/>
      <c r="O63" s="2"/>
      <c r="P63" s="2"/>
      <c r="Q63" s="2"/>
    </row>
    <row r="64" spans="1:17" ht="13.2">
      <c r="A64" s="42">
        <v>45705</v>
      </c>
      <c r="B64" s="21">
        <v>1</v>
      </c>
      <c r="C64" s="10" t="s">
        <v>31</v>
      </c>
      <c r="D64" s="10" t="s">
        <v>31</v>
      </c>
      <c r="E64" s="10" t="s">
        <v>86</v>
      </c>
      <c r="F64" s="10">
        <v>87.7</v>
      </c>
      <c r="G64" s="10">
        <v>87.7</v>
      </c>
      <c r="H64" s="2"/>
      <c r="I64" s="2"/>
      <c r="J64" s="2"/>
      <c r="K64" s="2"/>
      <c r="L64" s="2"/>
      <c r="M64" s="2"/>
      <c r="N64" s="2"/>
      <c r="O64" s="2"/>
      <c r="P64" s="2"/>
      <c r="Q64" s="2"/>
    </row>
    <row r="65" spans="1:17" ht="13.2">
      <c r="A65" s="42">
        <v>45705</v>
      </c>
      <c r="B65" s="21">
        <v>1</v>
      </c>
      <c r="C65" s="10" t="s">
        <v>40</v>
      </c>
      <c r="D65" s="10" t="s">
        <v>40</v>
      </c>
      <c r="E65" s="21" t="s">
        <v>87</v>
      </c>
      <c r="F65" s="10">
        <v>225</v>
      </c>
      <c r="G65" s="10">
        <v>225</v>
      </c>
      <c r="H65" s="2"/>
      <c r="I65" s="2"/>
      <c r="J65" s="2"/>
      <c r="K65" s="2"/>
      <c r="L65" s="2"/>
      <c r="M65" s="2"/>
      <c r="N65" s="2"/>
      <c r="O65" s="2"/>
      <c r="P65" s="2"/>
      <c r="Q65" s="2" t="s">
        <v>14</v>
      </c>
    </row>
    <row r="66" spans="1:17" ht="13.2">
      <c r="A66" s="42">
        <v>45705</v>
      </c>
      <c r="B66" s="21">
        <v>1</v>
      </c>
      <c r="C66" s="10" t="s">
        <v>31</v>
      </c>
      <c r="D66" s="10" t="s">
        <v>31</v>
      </c>
      <c r="E66" s="10" t="s">
        <v>88</v>
      </c>
      <c r="F66" s="10">
        <v>300</v>
      </c>
      <c r="G66" s="10">
        <v>300</v>
      </c>
      <c r="H66" s="2"/>
      <c r="I66" s="2"/>
      <c r="J66" s="2"/>
      <c r="K66" s="2"/>
      <c r="L66" s="2"/>
      <c r="M66" s="2"/>
      <c r="N66" s="2"/>
      <c r="O66" s="2"/>
      <c r="P66" s="2"/>
      <c r="Q66" s="2"/>
    </row>
    <row r="67" spans="1:17" ht="13.2">
      <c r="A67" s="42">
        <v>45706</v>
      </c>
      <c r="B67" s="21">
        <v>1</v>
      </c>
      <c r="C67" s="10" t="s">
        <v>40</v>
      </c>
      <c r="D67" s="10" t="s">
        <v>40</v>
      </c>
      <c r="E67" s="10" t="s">
        <v>89</v>
      </c>
      <c r="F67" s="10">
        <v>320</v>
      </c>
      <c r="G67" s="10">
        <v>320</v>
      </c>
      <c r="H67" s="2"/>
      <c r="I67" s="2"/>
      <c r="J67" s="2"/>
      <c r="K67" s="2"/>
      <c r="L67" s="2"/>
      <c r="M67" s="2"/>
      <c r="N67" s="2"/>
      <c r="O67" s="2"/>
      <c r="P67" s="2"/>
      <c r="Q67" s="2"/>
    </row>
    <row r="68" spans="1:17" ht="13.2">
      <c r="A68" s="42">
        <v>45706</v>
      </c>
      <c r="B68" s="21">
        <v>1</v>
      </c>
      <c r="C68" s="10" t="s">
        <v>31</v>
      </c>
      <c r="D68" s="10" t="s">
        <v>31</v>
      </c>
      <c r="E68" s="10" t="s">
        <v>90</v>
      </c>
      <c r="F68" s="10">
        <v>7</v>
      </c>
      <c r="G68" s="10">
        <v>7</v>
      </c>
      <c r="H68" s="2"/>
      <c r="I68" s="2"/>
      <c r="J68" s="2"/>
      <c r="K68" s="2"/>
      <c r="L68" s="2"/>
      <c r="M68" s="2"/>
      <c r="N68" s="2"/>
      <c r="O68" s="2"/>
      <c r="P68" s="2"/>
      <c r="Q68" s="2" t="s">
        <v>14</v>
      </c>
    </row>
    <row r="69" spans="1:17" ht="13.2">
      <c r="A69" s="42">
        <v>45706</v>
      </c>
      <c r="B69" s="21">
        <v>1</v>
      </c>
      <c r="C69" s="10" t="s">
        <v>31</v>
      </c>
      <c r="D69" s="10" t="s">
        <v>31</v>
      </c>
      <c r="E69" s="10" t="s">
        <v>88</v>
      </c>
      <c r="F69" s="10">
        <v>300</v>
      </c>
      <c r="G69" s="10">
        <v>300</v>
      </c>
      <c r="H69" s="2"/>
      <c r="I69" s="2"/>
      <c r="J69" s="2"/>
      <c r="K69" s="2"/>
      <c r="L69" s="2"/>
      <c r="M69" s="2"/>
      <c r="N69" s="2"/>
      <c r="O69" s="2"/>
      <c r="P69" s="2"/>
      <c r="Q69" s="2"/>
    </row>
    <row r="70" spans="1:17" ht="13.2">
      <c r="A70" s="228">
        <v>45706</v>
      </c>
      <c r="B70" s="21">
        <v>1</v>
      </c>
      <c r="C70" s="10" t="s">
        <v>27</v>
      </c>
      <c r="D70" s="10" t="s">
        <v>27</v>
      </c>
      <c r="E70" s="10" t="s">
        <v>91</v>
      </c>
      <c r="F70" s="10">
        <v>312.5</v>
      </c>
      <c r="G70" s="10">
        <v>312.5</v>
      </c>
      <c r="H70" s="2"/>
      <c r="I70" s="2"/>
      <c r="J70" s="2"/>
      <c r="K70" s="2"/>
      <c r="L70" s="2"/>
      <c r="M70" s="2"/>
      <c r="N70" s="2"/>
      <c r="O70" s="2"/>
      <c r="P70" s="2"/>
      <c r="Q70" s="2"/>
    </row>
    <row r="71" spans="1:17" ht="13.2">
      <c r="A71" s="228">
        <v>45707</v>
      </c>
      <c r="B71" s="21">
        <v>1</v>
      </c>
      <c r="C71" s="12" t="s">
        <v>33</v>
      </c>
      <c r="D71" s="10" t="s">
        <v>23</v>
      </c>
      <c r="E71" s="10" t="s">
        <v>92</v>
      </c>
      <c r="F71" s="10">
        <v>751</v>
      </c>
      <c r="G71" s="10">
        <v>751</v>
      </c>
      <c r="H71" s="2"/>
      <c r="I71" s="2"/>
      <c r="J71" s="2"/>
      <c r="K71" s="2"/>
      <c r="L71" s="2"/>
      <c r="M71" s="2"/>
      <c r="N71" s="2"/>
      <c r="O71" s="2"/>
      <c r="P71" s="2"/>
      <c r="Q71" s="2"/>
    </row>
    <row r="72" spans="1:17" ht="13.2">
      <c r="A72" s="228">
        <v>45708</v>
      </c>
      <c r="B72" s="21">
        <v>1</v>
      </c>
      <c r="C72" s="12" t="s">
        <v>33</v>
      </c>
      <c r="D72" s="10" t="s">
        <v>23</v>
      </c>
      <c r="E72" s="10" t="s">
        <v>93</v>
      </c>
      <c r="F72" s="10">
        <v>111.8</v>
      </c>
      <c r="G72" s="10">
        <v>111.8</v>
      </c>
      <c r="H72" s="2"/>
      <c r="I72" s="2"/>
      <c r="J72" s="2"/>
      <c r="K72" s="2"/>
      <c r="L72" s="2"/>
      <c r="M72" s="2"/>
      <c r="N72" s="2"/>
      <c r="O72" s="2"/>
      <c r="P72" s="2"/>
      <c r="Q72" s="2"/>
    </row>
    <row r="73" spans="1:17" ht="13.2">
      <c r="A73" s="228">
        <v>45708</v>
      </c>
      <c r="B73" s="21">
        <v>1</v>
      </c>
      <c r="C73" s="10" t="s">
        <v>31</v>
      </c>
      <c r="D73" s="10" t="s">
        <v>31</v>
      </c>
      <c r="E73" s="10" t="s">
        <v>94</v>
      </c>
      <c r="F73" s="10">
        <v>9</v>
      </c>
      <c r="G73" s="10">
        <v>9</v>
      </c>
      <c r="H73" s="2"/>
      <c r="I73" s="2"/>
      <c r="J73" s="2"/>
      <c r="K73" s="2"/>
      <c r="L73" s="2"/>
      <c r="M73" s="2"/>
      <c r="N73" s="2"/>
      <c r="O73" s="2"/>
      <c r="P73" s="2"/>
      <c r="Q73" s="2"/>
    </row>
    <row r="74" spans="1:17" ht="13.2">
      <c r="A74" s="228">
        <v>45708</v>
      </c>
      <c r="B74" s="21">
        <v>1</v>
      </c>
      <c r="C74" s="10" t="s">
        <v>31</v>
      </c>
      <c r="D74" s="10" t="s">
        <v>31</v>
      </c>
      <c r="E74" s="35" t="s">
        <v>95</v>
      </c>
      <c r="F74" s="10">
        <v>2300</v>
      </c>
      <c r="G74" s="10">
        <v>2300</v>
      </c>
      <c r="H74" s="2"/>
      <c r="I74" s="2"/>
      <c r="J74" s="2"/>
      <c r="K74" s="2"/>
      <c r="L74" s="2"/>
      <c r="M74" s="2"/>
      <c r="N74" s="2"/>
      <c r="O74" s="2"/>
      <c r="P74" s="2"/>
      <c r="Q74" s="2"/>
    </row>
    <row r="75" spans="1:17" ht="18" customHeight="1">
      <c r="A75" s="228">
        <v>45708</v>
      </c>
      <c r="B75" s="21">
        <v>1</v>
      </c>
      <c r="C75" s="12" t="s">
        <v>33</v>
      </c>
      <c r="D75" s="10" t="s">
        <v>23</v>
      </c>
      <c r="E75" s="10" t="s">
        <v>96</v>
      </c>
      <c r="F75" s="10">
        <v>9.5</v>
      </c>
      <c r="G75" s="10">
        <v>9.5</v>
      </c>
      <c r="H75" s="2"/>
      <c r="I75" s="2"/>
      <c r="J75" s="2"/>
      <c r="K75" s="2"/>
      <c r="L75" s="2"/>
      <c r="M75" s="2"/>
      <c r="N75" s="2"/>
      <c r="O75" s="2"/>
      <c r="P75" s="2"/>
      <c r="Q75" s="2"/>
    </row>
    <row r="76" spans="1:17" ht="18" customHeight="1">
      <c r="A76" s="228">
        <v>45708</v>
      </c>
      <c r="B76" s="21">
        <v>1</v>
      </c>
      <c r="C76" s="10" t="s">
        <v>31</v>
      </c>
      <c r="D76" s="10" t="s">
        <v>31</v>
      </c>
      <c r="E76" s="10" t="s">
        <v>97</v>
      </c>
      <c r="F76" s="10">
        <v>75</v>
      </c>
      <c r="G76" s="10">
        <v>75</v>
      </c>
      <c r="H76" s="2"/>
      <c r="I76" s="2"/>
      <c r="J76" s="2"/>
      <c r="K76" s="2"/>
      <c r="L76" s="2"/>
      <c r="M76" s="2"/>
      <c r="N76" s="2"/>
      <c r="O76" s="2"/>
      <c r="P76" s="2"/>
      <c r="Q76" s="2"/>
    </row>
    <row r="77" spans="1:17" ht="13.2">
      <c r="A77" s="228">
        <v>45709</v>
      </c>
      <c r="B77" s="21">
        <v>1</v>
      </c>
      <c r="C77" s="10" t="s">
        <v>22</v>
      </c>
      <c r="D77" s="10" t="s">
        <v>23</v>
      </c>
      <c r="E77" s="10" t="s">
        <v>69</v>
      </c>
      <c r="F77" s="10">
        <v>120</v>
      </c>
      <c r="G77" s="10">
        <v>120</v>
      </c>
      <c r="H77" s="2"/>
      <c r="I77" s="2"/>
      <c r="J77" s="2"/>
      <c r="K77" s="2"/>
      <c r="L77" s="2"/>
      <c r="M77" s="2"/>
      <c r="N77" s="2"/>
      <c r="O77" s="2"/>
      <c r="P77" s="2"/>
      <c r="Q77" s="2"/>
    </row>
    <row r="78" spans="1:17" ht="13.2">
      <c r="A78" s="228">
        <v>45709</v>
      </c>
      <c r="B78" s="21">
        <v>1</v>
      </c>
      <c r="C78" s="10" t="s">
        <v>22</v>
      </c>
      <c r="D78" s="10" t="s">
        <v>23</v>
      </c>
      <c r="E78" s="10" t="s">
        <v>98</v>
      </c>
      <c r="F78" s="10">
        <v>108</v>
      </c>
      <c r="G78" s="10">
        <v>108</v>
      </c>
      <c r="H78" s="2"/>
      <c r="I78" s="2"/>
      <c r="J78" s="2"/>
      <c r="K78" s="2"/>
      <c r="L78" s="2"/>
      <c r="M78" s="2"/>
      <c r="N78" s="2"/>
      <c r="O78" s="2"/>
      <c r="P78" s="2"/>
      <c r="Q78" s="2"/>
    </row>
    <row r="79" spans="1:17" ht="13.2">
      <c r="A79" s="228">
        <v>45709</v>
      </c>
      <c r="B79" s="21">
        <v>1</v>
      </c>
      <c r="C79" s="10" t="s">
        <v>31</v>
      </c>
      <c r="D79" s="10" t="s">
        <v>31</v>
      </c>
      <c r="E79" s="10" t="s">
        <v>99</v>
      </c>
      <c r="F79" s="10">
        <v>60</v>
      </c>
      <c r="G79" s="10">
        <v>60</v>
      </c>
      <c r="H79" s="2"/>
      <c r="I79" s="2"/>
      <c r="J79" s="2"/>
      <c r="K79" s="2"/>
      <c r="L79" s="2"/>
      <c r="M79" s="2"/>
      <c r="N79" s="2"/>
      <c r="O79" s="2"/>
      <c r="P79" s="2"/>
      <c r="Q79" s="2"/>
    </row>
    <row r="80" spans="1:17" ht="13.2">
      <c r="A80" s="228">
        <v>45709</v>
      </c>
      <c r="B80" s="21">
        <v>1</v>
      </c>
      <c r="C80" s="10" t="s">
        <v>31</v>
      </c>
      <c r="D80" s="10" t="s">
        <v>31</v>
      </c>
      <c r="E80" s="10" t="s">
        <v>100</v>
      </c>
      <c r="F80" s="10">
        <v>60</v>
      </c>
      <c r="G80" s="10">
        <v>60</v>
      </c>
      <c r="H80" s="2"/>
      <c r="I80" s="2"/>
      <c r="J80" s="2"/>
      <c r="K80" s="2"/>
      <c r="L80" s="2"/>
      <c r="M80" s="2"/>
      <c r="N80" s="2"/>
      <c r="O80" s="2"/>
      <c r="P80" s="2"/>
      <c r="Q80" s="2"/>
    </row>
    <row r="81" spans="1:17" ht="13.2">
      <c r="A81" s="228">
        <v>45709</v>
      </c>
      <c r="B81" s="21">
        <v>1</v>
      </c>
      <c r="C81" s="10" t="s">
        <v>31</v>
      </c>
      <c r="D81" s="10" t="s">
        <v>31</v>
      </c>
      <c r="E81" s="10" t="s">
        <v>101</v>
      </c>
      <c r="F81" s="12">
        <v>8</v>
      </c>
      <c r="G81" s="12">
        <v>8</v>
      </c>
      <c r="H81" s="2"/>
      <c r="I81" s="2"/>
      <c r="J81" s="2"/>
      <c r="K81" s="2"/>
      <c r="L81" s="2"/>
      <c r="M81" s="2"/>
      <c r="N81" s="2"/>
      <c r="O81" s="2"/>
      <c r="P81" s="2"/>
      <c r="Q81" s="2"/>
    </row>
    <row r="82" spans="1:17" ht="13.2">
      <c r="A82" s="228">
        <v>45709</v>
      </c>
      <c r="B82" s="21">
        <v>1</v>
      </c>
      <c r="C82" s="10" t="s">
        <v>31</v>
      </c>
      <c r="D82" s="10" t="s">
        <v>31</v>
      </c>
      <c r="E82" s="10" t="s">
        <v>102</v>
      </c>
      <c r="F82" s="10">
        <v>12</v>
      </c>
      <c r="G82" s="10">
        <v>12</v>
      </c>
      <c r="H82" s="2"/>
      <c r="I82" s="2"/>
      <c r="J82" s="2"/>
      <c r="K82" s="2"/>
      <c r="L82" s="2"/>
      <c r="M82" s="2"/>
      <c r="N82" s="2"/>
      <c r="O82" s="2"/>
      <c r="P82" s="2"/>
      <c r="Q82" s="2"/>
    </row>
    <row r="83" spans="1:17" ht="13.2">
      <c r="A83" s="228">
        <v>45710</v>
      </c>
      <c r="B83" s="21">
        <v>1</v>
      </c>
      <c r="C83" s="12" t="s">
        <v>33</v>
      </c>
      <c r="D83" s="10" t="s">
        <v>23</v>
      </c>
      <c r="E83" s="10" t="s">
        <v>103</v>
      </c>
      <c r="F83" s="10">
        <v>55</v>
      </c>
      <c r="G83" s="10">
        <v>55</v>
      </c>
      <c r="H83" s="2"/>
      <c r="I83" s="2"/>
      <c r="J83" s="2"/>
      <c r="K83" s="2"/>
      <c r="L83" s="2"/>
      <c r="M83" s="2"/>
      <c r="N83" s="2"/>
      <c r="O83" s="2"/>
      <c r="P83" s="2"/>
      <c r="Q83" s="2"/>
    </row>
    <row r="84" spans="1:17" ht="13.2">
      <c r="A84" s="228">
        <v>45711</v>
      </c>
      <c r="B84" s="21">
        <v>1</v>
      </c>
      <c r="C84" s="10" t="s">
        <v>40</v>
      </c>
      <c r="D84" s="10" t="s">
        <v>40</v>
      </c>
      <c r="E84" s="10" t="s">
        <v>67</v>
      </c>
      <c r="F84" s="10">
        <v>822.5</v>
      </c>
      <c r="G84" s="10">
        <v>822.5</v>
      </c>
      <c r="H84" s="2"/>
      <c r="I84" s="2"/>
      <c r="J84" s="2"/>
      <c r="K84" s="2"/>
      <c r="L84" s="2"/>
      <c r="M84" s="2"/>
      <c r="N84" s="2"/>
      <c r="O84" s="2"/>
      <c r="P84" s="2"/>
      <c r="Q84" s="2"/>
    </row>
    <row r="85" spans="1:17" ht="13.2">
      <c r="A85" s="228">
        <v>45712</v>
      </c>
      <c r="B85" s="21">
        <v>1</v>
      </c>
      <c r="C85" s="10" t="s">
        <v>60</v>
      </c>
      <c r="D85" s="10" t="s">
        <v>23</v>
      </c>
      <c r="E85" s="10" t="s">
        <v>66</v>
      </c>
      <c r="F85" s="10">
        <v>55</v>
      </c>
      <c r="G85" s="10">
        <v>55</v>
      </c>
      <c r="H85" s="2"/>
      <c r="I85" s="2"/>
      <c r="J85" s="2"/>
      <c r="K85" s="2"/>
      <c r="L85" s="2"/>
      <c r="M85" s="2"/>
      <c r="N85" s="2"/>
      <c r="O85" s="2"/>
      <c r="P85" s="2"/>
      <c r="Q85" s="2"/>
    </row>
    <row r="86" spans="1:17" ht="13.2">
      <c r="A86" s="228">
        <v>45712</v>
      </c>
      <c r="B86" s="21">
        <v>1</v>
      </c>
      <c r="C86" s="10" t="s">
        <v>60</v>
      </c>
      <c r="D86" s="10" t="s">
        <v>23</v>
      </c>
      <c r="E86" s="10" t="s">
        <v>104</v>
      </c>
      <c r="F86" s="10">
        <v>65</v>
      </c>
      <c r="G86" s="10">
        <v>65</v>
      </c>
      <c r="H86" s="2"/>
      <c r="I86" s="2"/>
      <c r="J86" s="2"/>
      <c r="K86" s="2"/>
      <c r="L86" s="2"/>
      <c r="M86" s="2"/>
      <c r="N86" s="2"/>
      <c r="O86" s="2"/>
      <c r="P86" s="2"/>
      <c r="Q86" s="2"/>
    </row>
    <row r="87" spans="1:17" ht="13.2">
      <c r="A87" s="228">
        <v>45713</v>
      </c>
      <c r="B87" s="21">
        <v>4</v>
      </c>
      <c r="C87" s="10" t="s">
        <v>25</v>
      </c>
      <c r="D87" s="10" t="s">
        <v>25</v>
      </c>
      <c r="E87" s="10" t="s">
        <v>105</v>
      </c>
      <c r="F87" s="10">
        <v>100</v>
      </c>
      <c r="G87" s="10">
        <f>B87*F87</f>
        <v>400</v>
      </c>
      <c r="H87" s="2"/>
      <c r="I87" s="2"/>
      <c r="J87" s="2"/>
      <c r="K87" s="2"/>
      <c r="L87" s="2"/>
      <c r="M87" s="2"/>
      <c r="N87" s="2"/>
      <c r="O87" s="2"/>
      <c r="P87" s="2"/>
      <c r="Q87" s="2"/>
    </row>
    <row r="88" spans="1:17" ht="13.2">
      <c r="A88" s="228">
        <v>45713</v>
      </c>
      <c r="B88" s="21">
        <v>1</v>
      </c>
      <c r="C88" s="10" t="s">
        <v>33</v>
      </c>
      <c r="D88" s="10" t="s">
        <v>23</v>
      </c>
      <c r="E88" s="10" t="s">
        <v>106</v>
      </c>
      <c r="F88" s="10">
        <v>223.4</v>
      </c>
      <c r="G88" s="10">
        <v>223.4</v>
      </c>
      <c r="H88" s="2"/>
      <c r="I88" s="2"/>
      <c r="J88" s="2"/>
      <c r="K88" s="2"/>
      <c r="L88" s="2"/>
      <c r="M88" s="2"/>
      <c r="N88" s="2"/>
      <c r="O88" s="2"/>
      <c r="P88" s="2"/>
      <c r="Q88" s="2"/>
    </row>
    <row r="89" spans="1:17" ht="13.2">
      <c r="A89" s="228">
        <v>45713</v>
      </c>
      <c r="B89" s="21">
        <v>1</v>
      </c>
      <c r="C89" s="10" t="s">
        <v>31</v>
      </c>
      <c r="D89" s="10" t="s">
        <v>31</v>
      </c>
      <c r="E89" s="10" t="s">
        <v>107</v>
      </c>
      <c r="F89" s="10">
        <v>99.9</v>
      </c>
      <c r="G89" s="10">
        <v>99.9</v>
      </c>
      <c r="H89" s="2"/>
      <c r="I89" s="2"/>
      <c r="J89" s="2"/>
      <c r="K89" s="2"/>
      <c r="L89" s="2"/>
      <c r="M89" s="2"/>
      <c r="N89" s="2"/>
      <c r="O89" s="2"/>
      <c r="P89" s="2"/>
      <c r="Q89" s="2"/>
    </row>
    <row r="90" spans="1:17" ht="13.2">
      <c r="A90" s="228">
        <v>45713</v>
      </c>
      <c r="B90" s="21">
        <v>1</v>
      </c>
      <c r="C90" s="10" t="s">
        <v>40</v>
      </c>
      <c r="D90" s="10" t="s">
        <v>40</v>
      </c>
      <c r="E90" s="10" t="s">
        <v>108</v>
      </c>
      <c r="F90" s="10">
        <v>202.5</v>
      </c>
      <c r="G90" s="10">
        <v>202.5</v>
      </c>
      <c r="H90" s="2"/>
      <c r="I90" s="2"/>
      <c r="J90" s="2"/>
      <c r="K90" s="2"/>
      <c r="L90" s="2"/>
      <c r="M90" s="2"/>
      <c r="N90" s="2"/>
      <c r="O90" s="2"/>
      <c r="P90" s="2"/>
      <c r="Q90" s="2"/>
    </row>
    <row r="91" spans="1:17" ht="13.2">
      <c r="A91" s="42">
        <v>45713</v>
      </c>
      <c r="B91" s="21">
        <v>1</v>
      </c>
      <c r="C91" s="10" t="s">
        <v>60</v>
      </c>
      <c r="D91" s="10" t="s">
        <v>23</v>
      </c>
      <c r="E91" s="10" t="s">
        <v>109</v>
      </c>
      <c r="F91" s="10">
        <v>75</v>
      </c>
      <c r="G91" s="10">
        <v>75</v>
      </c>
      <c r="H91" s="2"/>
      <c r="I91" s="2"/>
      <c r="J91" s="2"/>
      <c r="K91" s="2"/>
      <c r="L91" s="2"/>
      <c r="M91" s="2"/>
      <c r="N91" s="2"/>
      <c r="O91" s="2"/>
      <c r="P91" s="2"/>
      <c r="Q91" s="2"/>
    </row>
    <row r="92" spans="1:17" ht="13.2">
      <c r="A92" s="42">
        <v>45714</v>
      </c>
      <c r="B92" s="21">
        <v>1</v>
      </c>
      <c r="C92" s="10" t="s">
        <v>33</v>
      </c>
      <c r="D92" s="10" t="s">
        <v>23</v>
      </c>
      <c r="E92" s="10" t="s">
        <v>110</v>
      </c>
      <c r="F92" s="10">
        <v>64</v>
      </c>
      <c r="G92" s="10">
        <v>64</v>
      </c>
      <c r="I92" s="2"/>
      <c r="J92" s="2"/>
      <c r="K92" s="2"/>
      <c r="L92" s="2"/>
      <c r="M92" s="2"/>
      <c r="N92" s="2"/>
      <c r="O92" s="2"/>
      <c r="P92" s="2"/>
      <c r="Q92" s="2"/>
    </row>
    <row r="93" spans="1:17" ht="13.2">
      <c r="A93" s="42">
        <v>45715</v>
      </c>
      <c r="B93" s="21">
        <v>1</v>
      </c>
      <c r="C93" s="10" t="s">
        <v>31</v>
      </c>
      <c r="D93" s="10" t="s">
        <v>31</v>
      </c>
      <c r="E93" s="10" t="s">
        <v>111</v>
      </c>
      <c r="F93" s="10">
        <v>9</v>
      </c>
      <c r="G93" s="10">
        <v>9</v>
      </c>
      <c r="H93" s="2"/>
      <c r="I93" s="2"/>
      <c r="J93" s="2"/>
      <c r="K93" s="2"/>
      <c r="L93" s="2"/>
      <c r="M93" s="2"/>
      <c r="N93" s="2"/>
      <c r="O93" s="2"/>
      <c r="P93" s="2"/>
      <c r="Q93" s="2"/>
    </row>
    <row r="94" spans="1:17" ht="13.2">
      <c r="A94" s="42">
        <v>45715</v>
      </c>
      <c r="B94" s="21">
        <v>1</v>
      </c>
      <c r="C94" s="10" t="s">
        <v>31</v>
      </c>
      <c r="D94" s="10" t="s">
        <v>31</v>
      </c>
      <c r="E94" s="10" t="s">
        <v>112</v>
      </c>
      <c r="F94" s="10">
        <v>7</v>
      </c>
      <c r="G94" s="10">
        <v>7</v>
      </c>
      <c r="H94" s="2"/>
      <c r="I94" s="2"/>
      <c r="J94" s="2"/>
      <c r="K94" s="2"/>
      <c r="L94" s="2"/>
      <c r="M94" s="2"/>
      <c r="N94" s="2"/>
      <c r="O94" s="2"/>
      <c r="P94" s="2"/>
      <c r="Q94" s="2"/>
    </row>
    <row r="95" spans="1:17" ht="13.2">
      <c r="A95" s="42">
        <v>45715</v>
      </c>
      <c r="B95" s="21">
        <v>1</v>
      </c>
      <c r="C95" s="10" t="s">
        <v>60</v>
      </c>
      <c r="D95" s="10" t="s">
        <v>23</v>
      </c>
      <c r="E95" s="10" t="s">
        <v>113</v>
      </c>
      <c r="F95" s="10">
        <v>78</v>
      </c>
      <c r="G95" s="10">
        <v>78</v>
      </c>
      <c r="H95" s="2"/>
      <c r="I95" s="2"/>
      <c r="J95" s="2"/>
      <c r="K95" s="2"/>
      <c r="L95" s="2"/>
      <c r="M95" s="2"/>
      <c r="N95" s="2"/>
      <c r="O95" s="2"/>
      <c r="P95" s="2"/>
      <c r="Q95" s="2"/>
    </row>
    <row r="96" spans="1:17" ht="13.2">
      <c r="A96" s="42">
        <v>45716</v>
      </c>
      <c r="B96" s="21">
        <v>1</v>
      </c>
      <c r="C96" s="10" t="s">
        <v>31</v>
      </c>
      <c r="D96" s="10" t="s">
        <v>31</v>
      </c>
      <c r="E96" s="10" t="s">
        <v>114</v>
      </c>
      <c r="F96" s="10">
        <v>25.6</v>
      </c>
      <c r="G96" s="10">
        <v>25.6</v>
      </c>
      <c r="H96" s="2"/>
      <c r="I96" s="2"/>
      <c r="J96" s="2"/>
      <c r="K96" s="2"/>
      <c r="L96" s="2"/>
      <c r="M96" s="2"/>
      <c r="N96" s="2"/>
      <c r="O96" s="2"/>
      <c r="P96" s="2"/>
      <c r="Q96" s="2"/>
    </row>
    <row r="97" spans="1:17" ht="13.2">
      <c r="A97" s="42">
        <v>45716</v>
      </c>
      <c r="B97" s="21">
        <v>1</v>
      </c>
      <c r="C97" s="10" t="s">
        <v>60</v>
      </c>
      <c r="D97" s="10" t="s">
        <v>23</v>
      </c>
      <c r="E97" s="10" t="s">
        <v>113</v>
      </c>
      <c r="F97" s="10">
        <v>60</v>
      </c>
      <c r="G97" s="10">
        <v>60</v>
      </c>
      <c r="H97" s="2"/>
      <c r="I97" s="2"/>
      <c r="J97" s="2"/>
      <c r="K97" s="2"/>
      <c r="L97" s="2"/>
      <c r="M97" s="2"/>
      <c r="N97" s="2"/>
      <c r="O97" s="2"/>
      <c r="P97" s="2"/>
      <c r="Q97" s="2"/>
    </row>
    <row r="98" spans="1:17" ht="13.2">
      <c r="A98" s="42">
        <v>45716</v>
      </c>
      <c r="B98" s="21">
        <v>1</v>
      </c>
      <c r="C98" s="10" t="s">
        <v>22</v>
      </c>
      <c r="D98" s="10" t="s">
        <v>23</v>
      </c>
      <c r="E98" s="10" t="s">
        <v>115</v>
      </c>
      <c r="F98" s="10">
        <v>11</v>
      </c>
      <c r="G98" s="10">
        <v>11</v>
      </c>
      <c r="H98" s="2"/>
      <c r="I98" s="2"/>
      <c r="J98" s="2"/>
      <c r="K98" s="2"/>
      <c r="L98" s="2"/>
      <c r="M98" s="2"/>
      <c r="N98" s="2"/>
      <c r="O98" s="2"/>
    </row>
    <row r="99" spans="1:17" ht="13.2">
      <c r="A99" s="158">
        <v>45716</v>
      </c>
      <c r="B99" s="23">
        <v>3</v>
      </c>
      <c r="C99" s="23" t="s">
        <v>31</v>
      </c>
      <c r="D99" s="23" t="s">
        <v>31</v>
      </c>
      <c r="E99" s="23" t="s">
        <v>48</v>
      </c>
      <c r="F99" s="23">
        <v>128.47999999999999</v>
      </c>
      <c r="G99" s="23">
        <f t="shared" ref="G99:G114" si="1">F99*B99</f>
        <v>385.43999999999994</v>
      </c>
      <c r="H99" s="2"/>
      <c r="I99" s="2"/>
      <c r="J99" s="2"/>
      <c r="K99" s="2"/>
      <c r="L99" s="2"/>
      <c r="M99" s="2"/>
      <c r="N99" s="2"/>
      <c r="O99" s="2"/>
    </row>
    <row r="100" spans="1:17" ht="13.2">
      <c r="A100" s="158">
        <v>45716</v>
      </c>
      <c r="B100" s="23">
        <v>1</v>
      </c>
      <c r="C100" s="23" t="s">
        <v>55</v>
      </c>
      <c r="D100" s="23" t="s">
        <v>56</v>
      </c>
      <c r="E100" s="23" t="s">
        <v>57</v>
      </c>
      <c r="F100" s="23">
        <v>732.44</v>
      </c>
      <c r="G100" s="23">
        <f t="shared" si="1"/>
        <v>732.44</v>
      </c>
      <c r="H100" s="2"/>
      <c r="I100" s="2"/>
      <c r="J100" s="2"/>
      <c r="K100" s="2"/>
      <c r="L100" s="2"/>
      <c r="M100" s="2"/>
      <c r="N100" s="2"/>
      <c r="O100" s="2"/>
    </row>
    <row r="101" spans="1:17" ht="13.2">
      <c r="A101" s="158">
        <v>45716</v>
      </c>
      <c r="B101" s="23">
        <v>1</v>
      </c>
      <c r="C101" s="23" t="s">
        <v>31</v>
      </c>
      <c r="D101" s="23" t="s">
        <v>31</v>
      </c>
      <c r="E101" s="23" t="s">
        <v>49</v>
      </c>
      <c r="F101" s="23">
        <v>146.9</v>
      </c>
      <c r="G101" s="23">
        <f t="shared" si="1"/>
        <v>146.9</v>
      </c>
      <c r="H101" s="2"/>
      <c r="I101" s="2"/>
      <c r="J101" s="2"/>
      <c r="K101" s="2"/>
      <c r="L101" s="2"/>
      <c r="M101" s="2"/>
      <c r="N101" s="2"/>
      <c r="O101" s="2"/>
    </row>
    <row r="102" spans="1:17" ht="13.2">
      <c r="A102" s="158">
        <v>45716</v>
      </c>
      <c r="B102" s="23">
        <v>1</v>
      </c>
      <c r="C102" s="23" t="s">
        <v>31</v>
      </c>
      <c r="D102" s="23" t="s">
        <v>31</v>
      </c>
      <c r="E102" s="23" t="s">
        <v>50</v>
      </c>
      <c r="F102" s="23">
        <v>300</v>
      </c>
      <c r="G102" s="23">
        <f t="shared" si="1"/>
        <v>300</v>
      </c>
      <c r="H102" s="2"/>
      <c r="I102" s="2"/>
      <c r="J102" s="2"/>
      <c r="K102" s="2"/>
      <c r="L102" s="2"/>
      <c r="M102" s="2"/>
      <c r="N102" s="2"/>
      <c r="O102" s="2"/>
    </row>
    <row r="103" spans="1:17" ht="13.2">
      <c r="A103" s="158">
        <v>45716</v>
      </c>
      <c r="B103" s="23">
        <v>1</v>
      </c>
      <c r="C103" s="23" t="s">
        <v>31</v>
      </c>
      <c r="D103" s="23" t="s">
        <v>31</v>
      </c>
      <c r="E103" s="23" t="s">
        <v>51</v>
      </c>
      <c r="F103" s="23">
        <v>300</v>
      </c>
      <c r="G103" s="23">
        <f t="shared" si="1"/>
        <v>300</v>
      </c>
      <c r="H103" s="2"/>
      <c r="I103" s="2"/>
      <c r="J103" s="2"/>
      <c r="K103" s="2"/>
      <c r="L103" s="2"/>
      <c r="M103" s="2"/>
      <c r="N103" s="2"/>
      <c r="O103" s="2"/>
    </row>
    <row r="104" spans="1:17" ht="13.2">
      <c r="A104" s="158">
        <v>45716</v>
      </c>
      <c r="B104" s="23">
        <v>1</v>
      </c>
      <c r="C104" s="23" t="s">
        <v>31</v>
      </c>
      <c r="D104" s="23" t="s">
        <v>31</v>
      </c>
      <c r="E104" s="23" t="s">
        <v>52</v>
      </c>
      <c r="F104" s="23">
        <v>100</v>
      </c>
      <c r="G104" s="23">
        <f t="shared" si="1"/>
        <v>100</v>
      </c>
      <c r="H104" s="2"/>
      <c r="I104" s="2"/>
      <c r="J104" s="2"/>
      <c r="K104" s="2"/>
      <c r="L104" s="2"/>
      <c r="M104" s="2"/>
      <c r="N104" s="2"/>
      <c r="O104" s="2"/>
    </row>
    <row r="105" spans="1:17" ht="13.2">
      <c r="A105" s="158">
        <v>45716</v>
      </c>
      <c r="B105" s="23">
        <v>1</v>
      </c>
      <c r="C105" s="23" t="s">
        <v>31</v>
      </c>
      <c r="D105" s="23" t="s">
        <v>31</v>
      </c>
      <c r="E105" s="23" t="s">
        <v>53</v>
      </c>
      <c r="F105" s="23">
        <v>160</v>
      </c>
      <c r="G105" s="23">
        <f t="shared" si="1"/>
        <v>160</v>
      </c>
      <c r="H105" s="2"/>
      <c r="I105" s="2"/>
      <c r="J105" s="2"/>
      <c r="K105" s="2"/>
      <c r="L105" s="2"/>
      <c r="M105" s="2"/>
      <c r="N105" s="2"/>
      <c r="O105" s="2"/>
    </row>
    <row r="106" spans="1:17" ht="13.2">
      <c r="A106" s="158">
        <v>45716</v>
      </c>
      <c r="B106" s="23">
        <v>1</v>
      </c>
      <c r="C106" s="23" t="s">
        <v>31</v>
      </c>
      <c r="D106" s="23" t="s">
        <v>31</v>
      </c>
      <c r="E106" s="23" t="s">
        <v>54</v>
      </c>
      <c r="F106" s="23">
        <v>100</v>
      </c>
      <c r="G106" s="23">
        <f t="shared" si="1"/>
        <v>100</v>
      </c>
      <c r="H106" s="2"/>
      <c r="I106" s="2"/>
      <c r="J106" s="2"/>
      <c r="K106" s="2"/>
      <c r="L106" s="2"/>
      <c r="M106" s="2"/>
      <c r="N106" s="2"/>
      <c r="O106" s="2"/>
    </row>
    <row r="107" spans="1:17" ht="13.2">
      <c r="A107" s="158">
        <v>45716</v>
      </c>
      <c r="B107" s="23">
        <v>1</v>
      </c>
      <c r="C107" s="23" t="s">
        <v>31</v>
      </c>
      <c r="D107" s="23" t="s">
        <v>31</v>
      </c>
      <c r="E107" s="23" t="s">
        <v>116</v>
      </c>
      <c r="F107" s="23">
        <v>40</v>
      </c>
      <c r="G107" s="23">
        <f t="shared" si="1"/>
        <v>40</v>
      </c>
      <c r="H107" s="2"/>
      <c r="I107" s="2"/>
      <c r="J107" s="2"/>
      <c r="K107" s="2"/>
      <c r="L107" s="2"/>
      <c r="M107" s="2"/>
      <c r="N107" s="2"/>
      <c r="O107" s="2"/>
    </row>
    <row r="108" spans="1:17" ht="13.2">
      <c r="A108" s="158">
        <v>45716</v>
      </c>
      <c r="B108" s="23">
        <v>1</v>
      </c>
      <c r="C108" s="23" t="s">
        <v>31</v>
      </c>
      <c r="D108" s="23" t="s">
        <v>31</v>
      </c>
      <c r="E108" s="23" t="s">
        <v>117</v>
      </c>
      <c r="F108" s="23">
        <v>650</v>
      </c>
      <c r="G108" s="23">
        <f t="shared" si="1"/>
        <v>650</v>
      </c>
      <c r="H108" s="2"/>
      <c r="I108" s="2"/>
      <c r="J108" s="2"/>
      <c r="K108" s="2"/>
      <c r="L108" s="2"/>
      <c r="M108" s="2"/>
      <c r="N108" s="2"/>
      <c r="O108" s="2"/>
    </row>
    <row r="109" spans="1:17" ht="13.2">
      <c r="A109" s="158">
        <v>45716</v>
      </c>
      <c r="B109" s="23">
        <v>2</v>
      </c>
      <c r="C109" s="23" t="s">
        <v>31</v>
      </c>
      <c r="D109" s="23" t="s">
        <v>31</v>
      </c>
      <c r="E109" s="23" t="s">
        <v>118</v>
      </c>
      <c r="F109" s="23">
        <v>146</v>
      </c>
      <c r="G109" s="23">
        <f t="shared" si="1"/>
        <v>292</v>
      </c>
      <c r="H109" s="2"/>
      <c r="I109" s="2"/>
      <c r="J109" s="2"/>
      <c r="K109" s="2"/>
      <c r="L109" s="2"/>
      <c r="M109" s="2"/>
      <c r="N109" s="2"/>
      <c r="O109" s="2"/>
    </row>
    <row r="110" spans="1:17" ht="13.2">
      <c r="A110" s="158">
        <v>45716</v>
      </c>
      <c r="B110" s="23">
        <v>1</v>
      </c>
      <c r="C110" s="23" t="s">
        <v>31</v>
      </c>
      <c r="D110" s="23" t="s">
        <v>31</v>
      </c>
      <c r="E110" s="23" t="s">
        <v>119</v>
      </c>
      <c r="F110" s="23">
        <v>430</v>
      </c>
      <c r="G110" s="23">
        <f t="shared" si="1"/>
        <v>430</v>
      </c>
      <c r="H110" s="2"/>
      <c r="I110" s="2"/>
      <c r="J110" s="2"/>
      <c r="K110" s="2"/>
      <c r="L110" s="2"/>
      <c r="M110" s="2"/>
      <c r="N110" s="2"/>
      <c r="O110" s="2"/>
    </row>
    <row r="111" spans="1:17" ht="13.2">
      <c r="A111" s="158">
        <v>45716</v>
      </c>
      <c r="B111" s="23">
        <v>1</v>
      </c>
      <c r="C111" s="23" t="s">
        <v>31</v>
      </c>
      <c r="D111" s="23" t="s">
        <v>31</v>
      </c>
      <c r="E111" s="23" t="s">
        <v>120</v>
      </c>
      <c r="F111" s="23">
        <v>80</v>
      </c>
      <c r="G111" s="23">
        <f t="shared" si="1"/>
        <v>80</v>
      </c>
      <c r="H111" s="2"/>
      <c r="I111" s="2"/>
      <c r="J111" s="2"/>
      <c r="K111" s="2"/>
      <c r="L111" s="2"/>
      <c r="M111" s="2"/>
      <c r="N111" s="2"/>
      <c r="O111" s="2"/>
    </row>
    <row r="112" spans="1:17" ht="13.2">
      <c r="A112" s="158">
        <v>45716</v>
      </c>
      <c r="B112" s="23">
        <v>2</v>
      </c>
      <c r="C112" s="23" t="s">
        <v>31</v>
      </c>
      <c r="D112" s="23" t="s">
        <v>31</v>
      </c>
      <c r="E112" s="23" t="s">
        <v>121</v>
      </c>
      <c r="F112" s="23">
        <v>74</v>
      </c>
      <c r="G112" s="23">
        <f t="shared" si="1"/>
        <v>148</v>
      </c>
      <c r="H112" s="2"/>
      <c r="I112" s="2"/>
      <c r="J112" s="2"/>
      <c r="K112" s="2"/>
      <c r="L112" s="2"/>
      <c r="M112" s="2"/>
      <c r="N112" s="2"/>
      <c r="O112" s="2"/>
    </row>
    <row r="113" spans="1:17" ht="13.2">
      <c r="A113" s="158">
        <v>45716</v>
      </c>
      <c r="B113" s="23">
        <v>1</v>
      </c>
      <c r="C113" s="23" t="s">
        <v>31</v>
      </c>
      <c r="D113" s="23" t="s">
        <v>31</v>
      </c>
      <c r="E113" s="23" t="s">
        <v>122</v>
      </c>
      <c r="F113" s="23">
        <v>10000</v>
      </c>
      <c r="G113" s="23">
        <f t="shared" si="1"/>
        <v>10000</v>
      </c>
      <c r="H113" s="2"/>
      <c r="J113" s="2"/>
      <c r="K113" s="2"/>
      <c r="L113" s="2"/>
      <c r="M113" s="2"/>
      <c r="N113" s="2"/>
      <c r="O113" s="2"/>
      <c r="P113" s="2"/>
      <c r="Q113" s="2"/>
    </row>
    <row r="114" spans="1:17" ht="13.2">
      <c r="A114" s="158">
        <v>45716</v>
      </c>
      <c r="B114" s="23">
        <v>1</v>
      </c>
      <c r="C114" s="10" t="s">
        <v>123</v>
      </c>
      <c r="D114" s="23" t="s">
        <v>23</v>
      </c>
      <c r="E114" s="23" t="s">
        <v>124</v>
      </c>
      <c r="F114" s="2">
        <v>4024.3999999999992</v>
      </c>
      <c r="G114" s="23">
        <f t="shared" si="1"/>
        <v>4024.3999999999992</v>
      </c>
      <c r="H114" s="2"/>
      <c r="J114" s="2"/>
      <c r="K114" s="2"/>
      <c r="L114" s="2"/>
      <c r="M114" s="2"/>
      <c r="N114" s="2"/>
      <c r="O114" s="2"/>
      <c r="P114" s="2"/>
      <c r="Q114" s="2"/>
    </row>
    <row r="115" spans="1:17" ht="13.2">
      <c r="A115" s="42">
        <v>45717</v>
      </c>
      <c r="B115" s="21">
        <v>1</v>
      </c>
      <c r="C115" s="10" t="s">
        <v>31</v>
      </c>
      <c r="D115" s="10" t="s">
        <v>31</v>
      </c>
      <c r="E115" s="10" t="s">
        <v>125</v>
      </c>
      <c r="F115" s="10">
        <v>38.700000000000003</v>
      </c>
      <c r="G115" s="10">
        <v>38.700000000000003</v>
      </c>
      <c r="H115" s="2"/>
      <c r="I115" s="2"/>
      <c r="J115" s="2"/>
      <c r="K115" s="2"/>
      <c r="L115" s="2"/>
      <c r="M115" s="2"/>
      <c r="N115" s="2"/>
      <c r="O115" s="2"/>
    </row>
    <row r="116" spans="1:17" ht="13.2">
      <c r="A116" s="42">
        <v>45717</v>
      </c>
      <c r="B116" s="21">
        <v>1</v>
      </c>
      <c r="C116" s="10" t="s">
        <v>31</v>
      </c>
      <c r="D116" s="10" t="s">
        <v>31</v>
      </c>
      <c r="E116" s="21" t="s">
        <v>126</v>
      </c>
      <c r="F116" s="21" t="s">
        <v>127</v>
      </c>
      <c r="G116" s="21" t="s">
        <v>128</v>
      </c>
      <c r="H116" s="2"/>
      <c r="I116" s="2"/>
      <c r="J116" s="2"/>
      <c r="K116" s="2"/>
      <c r="L116" s="2"/>
      <c r="M116" s="2"/>
      <c r="N116" s="2"/>
      <c r="O116" s="2"/>
    </row>
    <row r="117" spans="1:17" ht="13.2">
      <c r="A117" s="42">
        <v>45719</v>
      </c>
      <c r="B117" s="10">
        <v>3</v>
      </c>
      <c r="C117" s="10" t="s">
        <v>33</v>
      </c>
      <c r="D117" s="10" t="s">
        <v>23</v>
      </c>
      <c r="E117" s="10" t="s">
        <v>129</v>
      </c>
      <c r="F117" s="10">
        <v>11</v>
      </c>
      <c r="G117" s="10">
        <f t="shared" ref="G117:G123" si="2">B117*F117</f>
        <v>33</v>
      </c>
      <c r="H117" s="2"/>
      <c r="I117" s="2"/>
      <c r="J117" s="2"/>
      <c r="K117" s="2"/>
      <c r="L117" s="2"/>
      <c r="M117" s="2"/>
      <c r="N117" s="2"/>
      <c r="O117" s="2"/>
    </row>
    <row r="118" spans="1:17" ht="13.2">
      <c r="A118" s="42">
        <v>45719</v>
      </c>
      <c r="B118" s="10">
        <v>3</v>
      </c>
      <c r="C118" s="10" t="s">
        <v>22</v>
      </c>
      <c r="D118" s="10" t="s">
        <v>23</v>
      </c>
      <c r="E118" s="10" t="s">
        <v>130</v>
      </c>
      <c r="F118" s="10">
        <v>19</v>
      </c>
      <c r="G118" s="10">
        <f t="shared" si="2"/>
        <v>57</v>
      </c>
      <c r="H118" s="2"/>
      <c r="I118" s="2"/>
      <c r="J118" s="2"/>
      <c r="K118" s="2"/>
      <c r="L118" s="2"/>
      <c r="M118" s="2"/>
      <c r="N118" s="2"/>
      <c r="O118" s="2"/>
    </row>
    <row r="119" spans="1:17" ht="13.2">
      <c r="A119" s="42">
        <v>45719</v>
      </c>
      <c r="B119" s="10">
        <v>1</v>
      </c>
      <c r="C119" s="10" t="s">
        <v>33</v>
      </c>
      <c r="D119" s="10" t="s">
        <v>23</v>
      </c>
      <c r="E119" s="10" t="s">
        <v>131</v>
      </c>
      <c r="F119" s="10">
        <v>35</v>
      </c>
      <c r="G119" s="10">
        <f t="shared" si="2"/>
        <v>35</v>
      </c>
      <c r="H119" s="2"/>
      <c r="I119" s="2"/>
      <c r="J119" s="2"/>
      <c r="K119" s="2"/>
      <c r="L119" s="2"/>
      <c r="M119" s="2"/>
      <c r="N119" s="2"/>
      <c r="O119" s="2"/>
    </row>
    <row r="120" spans="1:17" ht="13.2">
      <c r="A120" s="42">
        <v>45719</v>
      </c>
      <c r="B120" s="10">
        <v>1</v>
      </c>
      <c r="C120" s="10" t="s">
        <v>33</v>
      </c>
      <c r="D120" s="10" t="s">
        <v>23</v>
      </c>
      <c r="E120" s="10" t="s">
        <v>132</v>
      </c>
      <c r="F120" s="10">
        <v>52</v>
      </c>
      <c r="G120" s="10">
        <f t="shared" si="2"/>
        <v>52</v>
      </c>
      <c r="H120" s="2"/>
      <c r="I120" s="2"/>
      <c r="J120" s="2"/>
      <c r="K120" s="2"/>
      <c r="L120" s="2"/>
      <c r="M120" s="2"/>
      <c r="N120" s="2"/>
      <c r="O120" s="2"/>
    </row>
    <row r="121" spans="1:17" ht="13.2">
      <c r="A121" s="42">
        <v>45719</v>
      </c>
      <c r="B121" s="10">
        <v>4</v>
      </c>
      <c r="C121" s="10" t="s">
        <v>33</v>
      </c>
      <c r="D121" s="10" t="s">
        <v>23</v>
      </c>
      <c r="E121" s="10" t="s">
        <v>133</v>
      </c>
      <c r="F121" s="10">
        <v>10</v>
      </c>
      <c r="G121" s="10">
        <f t="shared" si="2"/>
        <v>40</v>
      </c>
      <c r="H121" s="2"/>
      <c r="I121" s="2"/>
      <c r="J121" s="2"/>
      <c r="K121" s="2"/>
      <c r="L121" s="2"/>
      <c r="M121" s="2"/>
      <c r="N121" s="2"/>
      <c r="O121" s="2"/>
    </row>
    <row r="122" spans="1:17" ht="13.2">
      <c r="A122" s="42">
        <v>45719</v>
      </c>
      <c r="B122" s="10">
        <v>1</v>
      </c>
      <c r="C122" s="10" t="s">
        <v>33</v>
      </c>
      <c r="D122" s="10" t="s">
        <v>23</v>
      </c>
      <c r="E122" s="10" t="s">
        <v>134</v>
      </c>
      <c r="F122" s="10">
        <v>42</v>
      </c>
      <c r="G122" s="10">
        <f t="shared" si="2"/>
        <v>42</v>
      </c>
      <c r="H122" s="2"/>
      <c r="I122" s="2"/>
      <c r="J122" s="2"/>
      <c r="K122" s="2"/>
      <c r="L122" s="2"/>
      <c r="M122" s="2"/>
      <c r="N122" s="2"/>
      <c r="O122" s="2"/>
    </row>
    <row r="123" spans="1:17" ht="13.2">
      <c r="A123" s="42">
        <v>45719</v>
      </c>
      <c r="B123" s="10">
        <v>1</v>
      </c>
      <c r="C123" s="10" t="s">
        <v>33</v>
      </c>
      <c r="D123" s="10" t="s">
        <v>23</v>
      </c>
      <c r="E123" s="10" t="s">
        <v>135</v>
      </c>
      <c r="F123" s="10">
        <v>40</v>
      </c>
      <c r="G123" s="10">
        <f t="shared" si="2"/>
        <v>40</v>
      </c>
      <c r="H123" s="2"/>
      <c r="I123" s="2"/>
      <c r="J123" s="2"/>
      <c r="K123" s="2"/>
      <c r="L123" s="2"/>
      <c r="M123" s="2"/>
      <c r="N123" s="2"/>
      <c r="O123" s="2"/>
    </row>
    <row r="124" spans="1:17" ht="13.2">
      <c r="A124" s="42">
        <v>45719</v>
      </c>
      <c r="B124" s="10">
        <v>1</v>
      </c>
      <c r="C124" s="10" t="s">
        <v>33</v>
      </c>
      <c r="D124" s="10" t="s">
        <v>23</v>
      </c>
      <c r="E124" s="10" t="s">
        <v>136</v>
      </c>
      <c r="F124" s="10">
        <v>9.5</v>
      </c>
      <c r="G124" s="10">
        <f t="shared" ref="G124:G161" si="3">F124*B124</f>
        <v>9.5</v>
      </c>
      <c r="H124" s="2"/>
      <c r="I124" s="2"/>
      <c r="J124" s="2"/>
      <c r="K124" s="2"/>
      <c r="L124" s="2"/>
      <c r="M124" s="2"/>
      <c r="N124" s="2"/>
      <c r="O124" s="2"/>
    </row>
    <row r="125" spans="1:17" ht="13.2">
      <c r="A125" s="42">
        <v>45719</v>
      </c>
      <c r="B125" s="10">
        <v>6</v>
      </c>
      <c r="C125" s="10" t="s">
        <v>33</v>
      </c>
      <c r="D125" s="10" t="s">
        <v>23</v>
      </c>
      <c r="E125" s="10" t="s">
        <v>137</v>
      </c>
      <c r="F125" s="10">
        <v>29.9</v>
      </c>
      <c r="G125" s="10">
        <f t="shared" si="3"/>
        <v>179.39999999999998</v>
      </c>
      <c r="H125" s="2"/>
      <c r="I125" s="2"/>
      <c r="J125" s="2"/>
      <c r="K125" s="2"/>
      <c r="L125" s="2"/>
      <c r="M125" s="2"/>
      <c r="N125" s="2"/>
      <c r="O125" s="2"/>
    </row>
    <row r="126" spans="1:17" ht="13.2">
      <c r="A126" s="42">
        <v>45719</v>
      </c>
      <c r="B126" s="10">
        <v>1</v>
      </c>
      <c r="C126" s="10" t="s">
        <v>33</v>
      </c>
      <c r="D126" s="10" t="s">
        <v>23</v>
      </c>
      <c r="E126" s="10" t="s">
        <v>138</v>
      </c>
      <c r="F126" s="10">
        <v>64.900000000000006</v>
      </c>
      <c r="G126" s="10">
        <f t="shared" si="3"/>
        <v>64.900000000000006</v>
      </c>
      <c r="H126" s="2"/>
      <c r="I126" s="2"/>
      <c r="J126" s="2"/>
      <c r="K126" s="2"/>
      <c r="L126" s="2"/>
      <c r="M126" s="2"/>
      <c r="N126" s="2"/>
      <c r="O126" s="2"/>
    </row>
    <row r="127" spans="1:17" ht="13.2">
      <c r="A127" s="42">
        <v>45719</v>
      </c>
      <c r="B127" s="10">
        <v>2</v>
      </c>
      <c r="C127" s="10" t="s">
        <v>33</v>
      </c>
      <c r="D127" s="10" t="s">
        <v>23</v>
      </c>
      <c r="E127" s="10" t="s">
        <v>139</v>
      </c>
      <c r="F127" s="10">
        <v>10.7</v>
      </c>
      <c r="G127" s="10">
        <f t="shared" si="3"/>
        <v>21.4</v>
      </c>
      <c r="H127" s="2"/>
      <c r="I127" s="2"/>
      <c r="J127" s="2"/>
      <c r="K127" s="2"/>
      <c r="L127" s="2"/>
      <c r="M127" s="2"/>
      <c r="N127" s="2"/>
      <c r="O127" s="2"/>
    </row>
    <row r="128" spans="1:17" ht="13.2">
      <c r="A128" s="42">
        <v>45719</v>
      </c>
      <c r="B128" s="10">
        <v>2</v>
      </c>
      <c r="C128" s="10" t="s">
        <v>33</v>
      </c>
      <c r="D128" s="10" t="s">
        <v>23</v>
      </c>
      <c r="E128" s="10" t="s">
        <v>140</v>
      </c>
      <c r="F128" s="10">
        <v>30.5</v>
      </c>
      <c r="G128" s="10">
        <f t="shared" si="3"/>
        <v>61</v>
      </c>
      <c r="H128" s="2"/>
      <c r="I128" s="2"/>
      <c r="J128" s="2"/>
      <c r="K128" s="2"/>
      <c r="L128" s="2"/>
      <c r="M128" s="2"/>
      <c r="N128" s="2"/>
      <c r="O128" s="2"/>
    </row>
    <row r="129" spans="1:17" ht="13.2">
      <c r="A129" s="42">
        <v>45720</v>
      </c>
      <c r="B129" s="10">
        <v>1</v>
      </c>
      <c r="C129" s="10" t="s">
        <v>33</v>
      </c>
      <c r="D129" s="10" t="s">
        <v>23</v>
      </c>
      <c r="E129" s="10" t="s">
        <v>6</v>
      </c>
      <c r="F129" s="10">
        <v>12</v>
      </c>
      <c r="G129" s="10">
        <f t="shared" si="3"/>
        <v>12</v>
      </c>
      <c r="H129" s="2"/>
      <c r="I129" s="2"/>
      <c r="J129" s="2"/>
      <c r="K129" s="2"/>
      <c r="L129" s="2"/>
      <c r="M129" s="2"/>
      <c r="N129" s="2"/>
      <c r="O129" s="2"/>
      <c r="P129" s="2"/>
      <c r="Q129" s="2"/>
    </row>
    <row r="130" spans="1:17" ht="13.2">
      <c r="A130" s="42">
        <v>45720</v>
      </c>
      <c r="B130" s="10">
        <v>1</v>
      </c>
      <c r="C130" s="10" t="s">
        <v>33</v>
      </c>
      <c r="D130" s="10" t="s">
        <v>23</v>
      </c>
      <c r="E130" s="10" t="s">
        <v>141</v>
      </c>
      <c r="F130" s="10">
        <v>100</v>
      </c>
      <c r="G130" s="10">
        <f t="shared" si="3"/>
        <v>100</v>
      </c>
      <c r="H130" s="2"/>
      <c r="I130" s="2"/>
      <c r="J130" s="2"/>
      <c r="K130" s="2"/>
      <c r="L130" s="2"/>
      <c r="M130" s="2"/>
      <c r="N130" s="2"/>
      <c r="O130" s="2"/>
      <c r="P130" s="2"/>
      <c r="Q130" s="2"/>
    </row>
    <row r="131" spans="1:17" ht="13.2">
      <c r="A131" s="42">
        <v>45720</v>
      </c>
      <c r="B131" s="10">
        <v>1</v>
      </c>
      <c r="C131" s="10" t="s">
        <v>31</v>
      </c>
      <c r="D131" s="10" t="s">
        <v>31</v>
      </c>
      <c r="E131" s="10" t="s">
        <v>142</v>
      </c>
      <c r="F131" s="10">
        <v>5</v>
      </c>
      <c r="G131" s="10">
        <f t="shared" si="3"/>
        <v>5</v>
      </c>
      <c r="H131" s="2"/>
      <c r="I131" s="2"/>
      <c r="J131" s="2"/>
      <c r="K131" s="2"/>
      <c r="L131" s="2"/>
      <c r="M131" s="2"/>
      <c r="N131" s="2"/>
      <c r="O131" s="2"/>
      <c r="P131" s="2"/>
      <c r="Q131" s="2"/>
    </row>
    <row r="132" spans="1:17" ht="13.2">
      <c r="A132" s="42">
        <v>45721</v>
      </c>
      <c r="B132" s="10">
        <v>1</v>
      </c>
      <c r="C132" s="10" t="s">
        <v>23</v>
      </c>
      <c r="D132" s="10" t="s">
        <v>23</v>
      </c>
      <c r="E132" s="10" t="s">
        <v>1</v>
      </c>
      <c r="F132" s="10">
        <v>10</v>
      </c>
      <c r="G132" s="10">
        <f t="shared" si="3"/>
        <v>10</v>
      </c>
      <c r="H132" s="2"/>
      <c r="I132" s="2"/>
      <c r="J132" s="2"/>
      <c r="K132" s="2"/>
      <c r="L132" s="2"/>
      <c r="M132" s="2"/>
      <c r="N132" s="2"/>
      <c r="O132" s="2"/>
      <c r="P132" s="2"/>
      <c r="Q132" s="2"/>
    </row>
    <row r="133" spans="1:17" ht="13.2">
      <c r="A133" s="42">
        <v>45722</v>
      </c>
      <c r="B133" s="10">
        <v>1</v>
      </c>
      <c r="C133" s="10" t="s">
        <v>31</v>
      </c>
      <c r="D133" s="10" t="s">
        <v>31</v>
      </c>
      <c r="E133" s="10" t="s">
        <v>143</v>
      </c>
      <c r="F133" s="10">
        <v>3.8</v>
      </c>
      <c r="G133" s="10">
        <f t="shared" si="3"/>
        <v>3.8</v>
      </c>
      <c r="H133" s="2"/>
      <c r="I133" s="2"/>
      <c r="J133" s="2"/>
      <c r="K133" s="2"/>
      <c r="L133" s="2"/>
      <c r="M133" s="2"/>
      <c r="N133" s="2"/>
      <c r="O133" s="2"/>
      <c r="P133" s="2"/>
      <c r="Q133" s="2"/>
    </row>
    <row r="134" spans="1:17" ht="13.2">
      <c r="A134" s="42">
        <v>45722</v>
      </c>
      <c r="B134" s="10">
        <v>1</v>
      </c>
      <c r="C134" s="10" t="s">
        <v>73</v>
      </c>
      <c r="D134" s="10" t="s">
        <v>73</v>
      </c>
      <c r="E134" s="10" t="s">
        <v>144</v>
      </c>
      <c r="F134" s="10">
        <v>60</v>
      </c>
      <c r="G134" s="10">
        <f t="shared" si="3"/>
        <v>60</v>
      </c>
      <c r="H134" s="2"/>
      <c r="I134" s="2"/>
      <c r="J134" s="2"/>
      <c r="K134" s="2"/>
      <c r="L134" s="2"/>
      <c r="M134" s="2"/>
      <c r="N134" s="2"/>
      <c r="O134" s="2"/>
      <c r="P134" s="2"/>
      <c r="Q134" s="2"/>
    </row>
    <row r="135" spans="1:17" ht="13.2">
      <c r="A135" s="42">
        <v>45723</v>
      </c>
      <c r="B135" s="10">
        <v>45</v>
      </c>
      <c r="C135" s="10" t="s">
        <v>33</v>
      </c>
      <c r="D135" s="10" t="s">
        <v>23</v>
      </c>
      <c r="E135" s="10" t="s">
        <v>145</v>
      </c>
      <c r="F135" s="10">
        <v>4</v>
      </c>
      <c r="G135" s="10">
        <f t="shared" si="3"/>
        <v>180</v>
      </c>
      <c r="H135" s="2"/>
      <c r="I135" s="2"/>
      <c r="J135" s="2"/>
      <c r="K135" s="2"/>
      <c r="L135" s="2"/>
      <c r="M135" s="2"/>
      <c r="N135" s="2"/>
      <c r="O135" s="2"/>
      <c r="P135" s="2"/>
      <c r="Q135" s="2"/>
    </row>
    <row r="136" spans="1:17" ht="13.2">
      <c r="A136" s="42">
        <v>45723</v>
      </c>
      <c r="B136" s="10">
        <v>1</v>
      </c>
      <c r="C136" s="10" t="s">
        <v>31</v>
      </c>
      <c r="D136" s="10" t="s">
        <v>31</v>
      </c>
      <c r="E136" s="10" t="s">
        <v>146</v>
      </c>
      <c r="F136" s="10">
        <v>44.06</v>
      </c>
      <c r="G136" s="10">
        <f t="shared" si="3"/>
        <v>44.06</v>
      </c>
      <c r="H136" s="2"/>
      <c r="I136" s="2"/>
      <c r="J136" s="2"/>
      <c r="K136" s="2"/>
      <c r="L136" s="2"/>
      <c r="M136" s="2"/>
      <c r="N136" s="2"/>
      <c r="O136" s="2"/>
      <c r="P136" s="2"/>
      <c r="Q136" s="2"/>
    </row>
    <row r="137" spans="1:17" ht="13.2">
      <c r="A137" s="42">
        <v>45723</v>
      </c>
      <c r="B137" s="10">
        <v>1</v>
      </c>
      <c r="C137" s="10" t="s">
        <v>60</v>
      </c>
      <c r="D137" s="10" t="s">
        <v>23</v>
      </c>
      <c r="E137" s="10" t="s">
        <v>113</v>
      </c>
      <c r="F137" s="10">
        <v>90</v>
      </c>
      <c r="G137" s="10">
        <f t="shared" si="3"/>
        <v>90</v>
      </c>
      <c r="H137" s="2"/>
      <c r="I137" s="2"/>
      <c r="J137" s="2"/>
      <c r="K137" s="2"/>
      <c r="L137" s="2"/>
      <c r="M137" s="2"/>
      <c r="N137" s="2"/>
      <c r="O137" s="2"/>
      <c r="P137" s="2"/>
      <c r="Q137" s="2"/>
    </row>
    <row r="138" spans="1:17" ht="13.2">
      <c r="A138" s="42">
        <v>45726</v>
      </c>
      <c r="B138" s="10">
        <v>5</v>
      </c>
      <c r="C138" s="10" t="s">
        <v>33</v>
      </c>
      <c r="D138" s="10" t="s">
        <v>23</v>
      </c>
      <c r="E138" s="10" t="s">
        <v>110</v>
      </c>
      <c r="F138" s="10">
        <v>30.54</v>
      </c>
      <c r="G138" s="10">
        <f t="shared" si="3"/>
        <v>152.69999999999999</v>
      </c>
      <c r="H138" s="2"/>
      <c r="I138" s="2"/>
      <c r="J138" s="2"/>
      <c r="K138" s="2"/>
      <c r="L138" s="2"/>
      <c r="M138" s="2"/>
      <c r="N138" s="2"/>
      <c r="O138" s="2"/>
      <c r="P138" s="2"/>
      <c r="Q138" s="2"/>
    </row>
    <row r="139" spans="1:17" ht="13.2">
      <c r="A139" s="42">
        <v>45726</v>
      </c>
      <c r="B139" s="10">
        <v>1</v>
      </c>
      <c r="C139" s="10" t="s">
        <v>33</v>
      </c>
      <c r="D139" s="10" t="s">
        <v>23</v>
      </c>
      <c r="E139" s="10" t="s">
        <v>147</v>
      </c>
      <c r="F139" s="10">
        <v>13</v>
      </c>
      <c r="G139" s="10">
        <f t="shared" si="3"/>
        <v>13</v>
      </c>
      <c r="H139" s="2"/>
      <c r="I139" s="2"/>
      <c r="J139" s="2"/>
      <c r="K139" s="2"/>
      <c r="L139" s="2"/>
      <c r="M139" s="2"/>
      <c r="N139" s="2"/>
      <c r="O139" s="2"/>
      <c r="P139" s="2"/>
      <c r="Q139" s="2"/>
    </row>
    <row r="140" spans="1:17" ht="13.2">
      <c r="A140" s="42">
        <v>45726</v>
      </c>
      <c r="B140" s="10">
        <v>4</v>
      </c>
      <c r="C140" s="10" t="s">
        <v>33</v>
      </c>
      <c r="D140" s="10" t="s">
        <v>23</v>
      </c>
      <c r="E140" s="10" t="s">
        <v>132</v>
      </c>
      <c r="F140" s="10">
        <v>52</v>
      </c>
      <c r="G140" s="10">
        <f t="shared" si="3"/>
        <v>208</v>
      </c>
      <c r="H140" s="2"/>
      <c r="I140" s="2"/>
      <c r="J140" s="2"/>
      <c r="K140" s="2"/>
      <c r="L140" s="2"/>
      <c r="M140" s="2"/>
      <c r="N140" s="2"/>
      <c r="O140" s="2"/>
      <c r="P140" s="2"/>
      <c r="Q140" s="2"/>
    </row>
    <row r="141" spans="1:17" ht="13.2">
      <c r="A141" s="42">
        <v>45726</v>
      </c>
      <c r="B141" s="10">
        <v>12</v>
      </c>
      <c r="C141" s="10" t="s">
        <v>33</v>
      </c>
      <c r="D141" s="10" t="s">
        <v>23</v>
      </c>
      <c r="E141" s="10" t="s">
        <v>148</v>
      </c>
      <c r="F141" s="10">
        <v>7</v>
      </c>
      <c r="G141" s="10">
        <f t="shared" si="3"/>
        <v>84</v>
      </c>
      <c r="H141" s="2"/>
      <c r="I141" s="2"/>
      <c r="J141" s="2"/>
      <c r="K141" s="2"/>
      <c r="L141" s="2"/>
      <c r="M141" s="2"/>
      <c r="N141" s="2"/>
      <c r="O141" s="2"/>
      <c r="P141" s="2"/>
      <c r="Q141" s="2"/>
    </row>
    <row r="142" spans="1:17" ht="13.2">
      <c r="A142" s="42">
        <v>45726</v>
      </c>
      <c r="B142" s="10">
        <v>3</v>
      </c>
      <c r="C142" s="10" t="s">
        <v>22</v>
      </c>
      <c r="D142" s="10" t="s">
        <v>23</v>
      </c>
      <c r="E142" s="10" t="s">
        <v>149</v>
      </c>
      <c r="F142" s="10">
        <v>19</v>
      </c>
      <c r="G142" s="10">
        <f t="shared" si="3"/>
        <v>57</v>
      </c>
      <c r="H142" s="2"/>
      <c r="I142" s="2"/>
      <c r="J142" s="2"/>
      <c r="K142" s="2"/>
      <c r="L142" s="2"/>
      <c r="M142" s="2"/>
      <c r="N142" s="2"/>
      <c r="O142" s="2"/>
      <c r="P142" s="2"/>
      <c r="Q142" s="2"/>
    </row>
    <row r="143" spans="1:17" ht="13.2">
      <c r="A143" s="42">
        <v>45726</v>
      </c>
      <c r="B143" s="10">
        <v>1</v>
      </c>
      <c r="C143" s="10" t="s">
        <v>22</v>
      </c>
      <c r="D143" s="10" t="s">
        <v>23</v>
      </c>
      <c r="E143" s="10" t="s">
        <v>150</v>
      </c>
      <c r="F143" s="10">
        <v>11</v>
      </c>
      <c r="G143" s="10">
        <f t="shared" si="3"/>
        <v>11</v>
      </c>
      <c r="H143" s="2"/>
      <c r="I143" s="2"/>
      <c r="J143" s="2"/>
      <c r="K143" s="2"/>
      <c r="L143" s="2"/>
      <c r="M143" s="2"/>
      <c r="N143" s="2"/>
      <c r="O143" s="2"/>
      <c r="P143" s="2"/>
      <c r="Q143" s="2"/>
    </row>
    <row r="144" spans="1:17" ht="13.2">
      <c r="A144" s="42">
        <v>45726</v>
      </c>
      <c r="B144" s="10">
        <v>1</v>
      </c>
      <c r="C144" s="10" t="s">
        <v>22</v>
      </c>
      <c r="D144" s="10" t="s">
        <v>23</v>
      </c>
      <c r="E144" s="10" t="s">
        <v>151</v>
      </c>
      <c r="F144" s="10">
        <v>15</v>
      </c>
      <c r="G144" s="10">
        <f t="shared" si="3"/>
        <v>15</v>
      </c>
      <c r="H144" s="2"/>
      <c r="I144" s="2"/>
      <c r="J144" s="2"/>
      <c r="K144" s="2"/>
      <c r="L144" s="2"/>
      <c r="M144" s="2"/>
      <c r="N144" s="2"/>
      <c r="O144" s="2"/>
      <c r="P144" s="2"/>
      <c r="Q144" s="2"/>
    </row>
    <row r="145" spans="1:17" ht="13.2">
      <c r="A145" s="42">
        <v>45726</v>
      </c>
      <c r="B145" s="10">
        <v>2</v>
      </c>
      <c r="C145" s="10" t="s">
        <v>33</v>
      </c>
      <c r="D145" s="10" t="s">
        <v>23</v>
      </c>
      <c r="E145" s="10" t="s">
        <v>152</v>
      </c>
      <c r="F145" s="10">
        <v>22</v>
      </c>
      <c r="G145" s="10">
        <f t="shared" si="3"/>
        <v>44</v>
      </c>
      <c r="H145" s="2"/>
      <c r="I145" s="2"/>
      <c r="J145" s="2"/>
      <c r="K145" s="2"/>
      <c r="L145" s="2"/>
      <c r="M145" s="2"/>
      <c r="N145" s="2"/>
      <c r="O145" s="2"/>
      <c r="P145" s="2"/>
      <c r="Q145" s="2"/>
    </row>
    <row r="146" spans="1:17" ht="13.2">
      <c r="A146" s="42">
        <v>45726</v>
      </c>
      <c r="B146" s="10">
        <v>1</v>
      </c>
      <c r="C146" s="10" t="s">
        <v>40</v>
      </c>
      <c r="D146" s="10" t="s">
        <v>40</v>
      </c>
      <c r="E146" s="10" t="s">
        <v>153</v>
      </c>
      <c r="F146" s="10">
        <v>2263.15</v>
      </c>
      <c r="G146" s="10">
        <f t="shared" si="3"/>
        <v>2263.15</v>
      </c>
      <c r="H146" s="2"/>
      <c r="I146" s="2"/>
      <c r="J146" s="2"/>
      <c r="K146" s="2"/>
      <c r="L146" s="2"/>
      <c r="M146" s="2"/>
      <c r="N146" s="2"/>
      <c r="O146" s="2"/>
      <c r="P146" s="2"/>
      <c r="Q146" s="2"/>
    </row>
    <row r="147" spans="1:17" ht="13.2">
      <c r="A147" s="42">
        <v>45726</v>
      </c>
      <c r="B147" s="10">
        <v>1</v>
      </c>
      <c r="C147" s="10" t="s">
        <v>40</v>
      </c>
      <c r="D147" s="10" t="s">
        <v>40</v>
      </c>
      <c r="E147" s="10" t="s">
        <v>154</v>
      </c>
      <c r="F147" s="10">
        <v>1985.65</v>
      </c>
      <c r="G147" s="10">
        <f t="shared" si="3"/>
        <v>1985.65</v>
      </c>
      <c r="H147" s="2"/>
      <c r="I147" s="2"/>
      <c r="J147" s="2"/>
      <c r="K147" s="2"/>
      <c r="L147" s="2"/>
      <c r="M147" s="2"/>
      <c r="N147" s="2"/>
      <c r="O147" s="2"/>
      <c r="P147" s="2"/>
      <c r="Q147" s="2"/>
    </row>
    <row r="148" spans="1:17" ht="13.2">
      <c r="A148" s="42">
        <v>45726</v>
      </c>
      <c r="B148" s="10">
        <v>1</v>
      </c>
      <c r="C148" s="10" t="s">
        <v>22</v>
      </c>
      <c r="D148" s="10" t="s">
        <v>23</v>
      </c>
      <c r="E148" s="10" t="s">
        <v>155</v>
      </c>
      <c r="F148" s="10">
        <v>194</v>
      </c>
      <c r="G148" s="10">
        <f t="shared" si="3"/>
        <v>194</v>
      </c>
      <c r="H148" s="2"/>
      <c r="I148" s="2"/>
      <c r="J148" s="2"/>
      <c r="K148" s="2"/>
      <c r="L148" s="2"/>
      <c r="M148" s="2"/>
      <c r="N148" s="2"/>
      <c r="O148" s="2"/>
      <c r="P148" s="2"/>
      <c r="Q148" s="2"/>
    </row>
    <row r="149" spans="1:17" ht="13.2">
      <c r="A149" s="42">
        <v>45726</v>
      </c>
      <c r="B149" s="10">
        <v>3</v>
      </c>
      <c r="C149" s="10" t="s">
        <v>31</v>
      </c>
      <c r="D149" s="10" t="s">
        <v>31</v>
      </c>
      <c r="E149" s="10" t="s">
        <v>156</v>
      </c>
      <c r="F149" s="10">
        <v>1.5</v>
      </c>
      <c r="G149" s="10">
        <f t="shared" si="3"/>
        <v>4.5</v>
      </c>
      <c r="H149" s="2"/>
      <c r="I149" s="2"/>
      <c r="J149" s="2"/>
      <c r="K149" s="2"/>
      <c r="L149" s="2"/>
      <c r="M149" s="2"/>
      <c r="N149" s="2"/>
      <c r="O149" s="2"/>
      <c r="P149" s="2"/>
      <c r="Q149" s="2"/>
    </row>
    <row r="150" spans="1:17" ht="13.2">
      <c r="A150" s="42">
        <v>45726</v>
      </c>
      <c r="B150" s="10">
        <v>1</v>
      </c>
      <c r="C150" s="10" t="s">
        <v>60</v>
      </c>
      <c r="D150" s="10" t="s">
        <v>23</v>
      </c>
      <c r="E150" s="10" t="s">
        <v>157</v>
      </c>
      <c r="F150" s="10">
        <v>80</v>
      </c>
      <c r="G150" s="10">
        <f t="shared" si="3"/>
        <v>80</v>
      </c>
      <c r="H150" s="2"/>
      <c r="I150" s="2"/>
      <c r="J150" s="2"/>
      <c r="K150" s="2"/>
      <c r="L150" s="2"/>
      <c r="M150" s="2"/>
      <c r="N150" s="2"/>
      <c r="O150" s="2"/>
      <c r="P150" s="2"/>
      <c r="Q150" s="2"/>
    </row>
    <row r="151" spans="1:17" ht="13.2">
      <c r="A151" s="42">
        <v>45726</v>
      </c>
      <c r="B151" s="10">
        <v>1</v>
      </c>
      <c r="C151" s="10" t="s">
        <v>31</v>
      </c>
      <c r="D151" s="10" t="s">
        <v>31</v>
      </c>
      <c r="E151" s="10" t="s">
        <v>158</v>
      </c>
      <c r="F151" s="10">
        <v>14.5</v>
      </c>
      <c r="G151" s="10">
        <f t="shared" si="3"/>
        <v>14.5</v>
      </c>
      <c r="H151" s="2"/>
      <c r="I151" s="2"/>
      <c r="J151" s="2"/>
      <c r="K151" s="2"/>
      <c r="L151" s="2"/>
      <c r="M151" s="2"/>
      <c r="N151" s="2"/>
      <c r="O151" s="2"/>
      <c r="P151" s="2"/>
      <c r="Q151" s="2"/>
    </row>
    <row r="152" spans="1:17" ht="13.2">
      <c r="A152" s="42">
        <v>45726</v>
      </c>
      <c r="B152" s="10">
        <v>1</v>
      </c>
      <c r="C152" s="10" t="s">
        <v>31</v>
      </c>
      <c r="D152" s="10" t="s">
        <v>31</v>
      </c>
      <c r="E152" s="10" t="s">
        <v>159</v>
      </c>
      <c r="F152" s="10">
        <v>3</v>
      </c>
      <c r="G152" s="10">
        <f t="shared" si="3"/>
        <v>3</v>
      </c>
      <c r="H152" s="2"/>
      <c r="I152" s="2"/>
      <c r="J152" s="2"/>
      <c r="K152" s="2"/>
      <c r="L152" s="2"/>
      <c r="M152" s="2"/>
      <c r="N152" s="2"/>
      <c r="O152" s="2"/>
      <c r="P152" s="2"/>
      <c r="Q152" s="2"/>
    </row>
    <row r="153" spans="1:17" ht="13.2">
      <c r="A153" s="42">
        <v>45726</v>
      </c>
      <c r="B153" s="10">
        <v>1</v>
      </c>
      <c r="C153" s="10" t="s">
        <v>60</v>
      </c>
      <c r="D153" s="10" t="s">
        <v>23</v>
      </c>
      <c r="E153" s="10" t="s">
        <v>160</v>
      </c>
      <c r="F153" s="21">
        <v>508.5</v>
      </c>
      <c r="G153" s="10">
        <f t="shared" si="3"/>
        <v>508.5</v>
      </c>
      <c r="H153" s="2"/>
      <c r="I153" s="2"/>
      <c r="J153" s="2"/>
      <c r="K153" s="2"/>
      <c r="L153" s="2"/>
      <c r="M153" s="2"/>
      <c r="N153" s="2"/>
      <c r="O153" s="2"/>
      <c r="P153" s="2"/>
      <c r="Q153" s="2"/>
    </row>
    <row r="154" spans="1:17" ht="13.2">
      <c r="A154" s="42">
        <v>45726</v>
      </c>
      <c r="B154" s="10">
        <v>1</v>
      </c>
      <c r="C154" s="10" t="s">
        <v>40</v>
      </c>
      <c r="D154" s="10" t="s">
        <v>40</v>
      </c>
      <c r="E154" s="10" t="s">
        <v>161</v>
      </c>
      <c r="F154" s="10">
        <v>1218.75</v>
      </c>
      <c r="G154" s="10">
        <f t="shared" si="3"/>
        <v>1218.75</v>
      </c>
      <c r="H154" s="2"/>
      <c r="I154" s="2"/>
      <c r="J154" s="2"/>
      <c r="K154" s="2"/>
      <c r="L154" s="2"/>
      <c r="M154" s="2"/>
      <c r="N154" s="2"/>
      <c r="O154" s="2"/>
      <c r="P154" s="2"/>
      <c r="Q154" s="2"/>
    </row>
    <row r="155" spans="1:17" ht="13.2">
      <c r="A155" s="42">
        <v>45727</v>
      </c>
      <c r="B155" s="10">
        <v>1</v>
      </c>
      <c r="C155" s="10" t="s">
        <v>31</v>
      </c>
      <c r="D155" s="10" t="s">
        <v>31</v>
      </c>
      <c r="E155" s="10" t="s">
        <v>162</v>
      </c>
      <c r="F155" s="10">
        <v>9</v>
      </c>
      <c r="G155" s="10">
        <f t="shared" si="3"/>
        <v>9</v>
      </c>
      <c r="H155" s="2"/>
      <c r="I155" s="2"/>
      <c r="J155" s="2"/>
      <c r="K155" s="2"/>
      <c r="L155" s="2"/>
      <c r="M155" s="2"/>
      <c r="N155" s="2"/>
      <c r="O155" s="2"/>
      <c r="P155" s="2"/>
      <c r="Q155" s="2"/>
    </row>
    <row r="156" spans="1:17" ht="13.2">
      <c r="A156" s="42">
        <v>45730</v>
      </c>
      <c r="B156" s="10">
        <v>1</v>
      </c>
      <c r="C156" s="10" t="s">
        <v>22</v>
      </c>
      <c r="D156" s="10" t="s">
        <v>23</v>
      </c>
      <c r="E156" s="10" t="s">
        <v>163</v>
      </c>
      <c r="F156" s="10">
        <v>120</v>
      </c>
      <c r="G156" s="10">
        <f t="shared" si="3"/>
        <v>120</v>
      </c>
      <c r="H156" s="2"/>
      <c r="I156" s="2"/>
      <c r="J156" s="2"/>
      <c r="K156" s="2"/>
      <c r="L156" s="2"/>
      <c r="M156" s="2"/>
      <c r="N156" s="2"/>
      <c r="O156" s="2"/>
      <c r="P156" s="2"/>
      <c r="Q156" s="2"/>
    </row>
    <row r="157" spans="1:17" ht="13.2">
      <c r="A157" s="42">
        <v>45730</v>
      </c>
      <c r="B157" s="10">
        <v>1</v>
      </c>
      <c r="C157" s="10" t="s">
        <v>60</v>
      </c>
      <c r="D157" s="10" t="s">
        <v>23</v>
      </c>
      <c r="E157" s="10" t="s">
        <v>160</v>
      </c>
      <c r="F157" s="10">
        <v>240.13</v>
      </c>
      <c r="G157" s="10">
        <f t="shared" si="3"/>
        <v>240.13</v>
      </c>
      <c r="H157" s="2"/>
      <c r="I157" s="2"/>
      <c r="J157" s="2"/>
      <c r="K157" s="2"/>
      <c r="L157" s="2"/>
      <c r="M157" s="2"/>
      <c r="N157" s="2"/>
      <c r="O157" s="2"/>
      <c r="P157" s="2"/>
      <c r="Q157" s="2"/>
    </row>
    <row r="158" spans="1:17" ht="13.2">
      <c r="A158" s="42">
        <v>45731</v>
      </c>
      <c r="B158" s="10">
        <v>1</v>
      </c>
      <c r="C158" s="10" t="s">
        <v>60</v>
      </c>
      <c r="D158" s="10" t="s">
        <v>23</v>
      </c>
      <c r="E158" s="10" t="s">
        <v>164</v>
      </c>
      <c r="F158" s="10">
        <v>900</v>
      </c>
      <c r="G158" s="10">
        <f t="shared" si="3"/>
        <v>900</v>
      </c>
      <c r="H158" s="2"/>
      <c r="I158" s="2"/>
      <c r="J158" s="2"/>
      <c r="K158" s="2"/>
      <c r="L158" s="2"/>
      <c r="M158" s="2"/>
      <c r="N158" s="2"/>
      <c r="O158" s="2"/>
      <c r="P158" s="2"/>
      <c r="Q158" s="2"/>
    </row>
    <row r="159" spans="1:17" ht="13.2">
      <c r="A159" s="42">
        <v>45731</v>
      </c>
      <c r="B159" s="10">
        <v>1</v>
      </c>
      <c r="C159" s="10" t="s">
        <v>60</v>
      </c>
      <c r="D159" s="10" t="s">
        <v>23</v>
      </c>
      <c r="E159" s="10" t="s">
        <v>165</v>
      </c>
      <c r="F159" s="10">
        <v>750</v>
      </c>
      <c r="G159" s="10">
        <f t="shared" si="3"/>
        <v>750</v>
      </c>
      <c r="H159" s="2"/>
      <c r="I159" s="2"/>
      <c r="J159" s="2"/>
      <c r="K159" s="2"/>
      <c r="L159" s="2"/>
      <c r="M159" s="2"/>
      <c r="N159" s="2"/>
      <c r="O159" s="2"/>
      <c r="P159" s="2"/>
      <c r="Q159" s="2"/>
    </row>
    <row r="160" spans="1:17" ht="13.2">
      <c r="A160" s="42">
        <v>45731</v>
      </c>
      <c r="B160" s="10">
        <v>1</v>
      </c>
      <c r="C160" s="10" t="s">
        <v>31</v>
      </c>
      <c r="D160" s="10" t="s">
        <v>31</v>
      </c>
      <c r="E160" s="10" t="s">
        <v>166</v>
      </c>
      <c r="F160" s="10">
        <v>18</v>
      </c>
      <c r="G160" s="10">
        <f t="shared" si="3"/>
        <v>18</v>
      </c>
      <c r="H160" s="2"/>
      <c r="I160" s="2"/>
      <c r="J160" s="2"/>
      <c r="K160" s="2"/>
      <c r="L160" s="2"/>
      <c r="M160" s="2"/>
      <c r="N160" s="2"/>
      <c r="O160" s="2"/>
      <c r="P160" s="2"/>
      <c r="Q160" s="2"/>
    </row>
    <row r="161" spans="1:22" ht="13.2">
      <c r="A161" s="42">
        <v>45733</v>
      </c>
      <c r="B161" s="10">
        <v>1</v>
      </c>
      <c r="C161" s="10" t="s">
        <v>33</v>
      </c>
      <c r="D161" s="10" t="s">
        <v>23</v>
      </c>
      <c r="E161" s="10" t="s">
        <v>167</v>
      </c>
      <c r="F161" s="10">
        <v>366</v>
      </c>
      <c r="G161" s="10">
        <f t="shared" si="3"/>
        <v>366</v>
      </c>
      <c r="H161" s="2"/>
      <c r="I161" s="2"/>
      <c r="J161" s="2"/>
      <c r="K161" s="2"/>
      <c r="L161" s="2"/>
      <c r="M161" s="2"/>
      <c r="N161" s="2"/>
      <c r="O161" s="2"/>
      <c r="P161" s="2"/>
      <c r="Q161" s="2"/>
    </row>
    <row r="162" spans="1:22" ht="13.2">
      <c r="A162" s="42">
        <v>45733</v>
      </c>
      <c r="B162" s="10">
        <v>2</v>
      </c>
      <c r="C162" s="10" t="s">
        <v>31</v>
      </c>
      <c r="D162" s="10" t="s">
        <v>31</v>
      </c>
      <c r="E162" s="10" t="s">
        <v>168</v>
      </c>
      <c r="F162" s="10">
        <v>100</v>
      </c>
      <c r="G162" s="10">
        <f>F162*B162+60</f>
        <v>260</v>
      </c>
      <c r="H162" s="2"/>
      <c r="I162" s="2"/>
      <c r="J162" s="2"/>
      <c r="K162" s="2"/>
      <c r="L162" s="2"/>
      <c r="M162" s="2"/>
      <c r="N162" s="2"/>
      <c r="O162" s="2"/>
      <c r="P162" s="2"/>
      <c r="Q162" s="2"/>
    </row>
    <row r="163" spans="1:22" ht="13.2">
      <c r="A163" s="42">
        <v>45733</v>
      </c>
      <c r="B163" s="10">
        <v>1</v>
      </c>
      <c r="C163" s="10" t="s">
        <v>33</v>
      </c>
      <c r="D163" s="10" t="s">
        <v>23</v>
      </c>
      <c r="E163" s="10" t="s">
        <v>167</v>
      </c>
      <c r="F163" s="10">
        <v>13</v>
      </c>
      <c r="G163" s="10">
        <f t="shared" ref="G163:G164" si="4">F163*B163</f>
        <v>13</v>
      </c>
      <c r="H163" s="2"/>
      <c r="I163" s="2"/>
      <c r="J163" s="2"/>
      <c r="K163" s="2"/>
      <c r="L163" s="2"/>
      <c r="M163" s="2"/>
      <c r="N163" s="2"/>
      <c r="O163" s="2"/>
      <c r="P163" s="2"/>
      <c r="Q163" s="2"/>
    </row>
    <row r="164" spans="1:22" ht="13.2">
      <c r="A164" s="42">
        <v>45733</v>
      </c>
      <c r="B164" s="21">
        <v>1</v>
      </c>
      <c r="C164" s="10" t="s">
        <v>33</v>
      </c>
      <c r="D164" s="10" t="s">
        <v>23</v>
      </c>
      <c r="E164" s="21" t="s">
        <v>169</v>
      </c>
      <c r="F164" s="21">
        <v>88.9</v>
      </c>
      <c r="G164" s="10">
        <f t="shared" si="4"/>
        <v>88.9</v>
      </c>
      <c r="H164" s="2"/>
      <c r="I164" s="2"/>
      <c r="J164" s="2"/>
      <c r="K164" s="2"/>
      <c r="L164" s="2"/>
      <c r="M164" s="2"/>
      <c r="N164" s="2"/>
      <c r="O164" s="2"/>
      <c r="P164" s="2"/>
      <c r="Q164" s="2"/>
    </row>
    <row r="165" spans="1:22" ht="13.2">
      <c r="A165" s="42">
        <v>45733</v>
      </c>
      <c r="B165" s="21">
        <v>1</v>
      </c>
      <c r="C165" s="10" t="s">
        <v>31</v>
      </c>
      <c r="D165" s="10" t="s">
        <v>31</v>
      </c>
      <c r="E165" s="21" t="s">
        <v>84</v>
      </c>
      <c r="F165" s="21">
        <v>3794.46</v>
      </c>
      <c r="G165" s="21">
        <v>7800.71</v>
      </c>
      <c r="H165" s="2"/>
      <c r="I165" s="2"/>
      <c r="J165" s="2"/>
      <c r="K165" s="2"/>
      <c r="L165" s="2"/>
      <c r="M165" s="2"/>
      <c r="N165" s="2"/>
      <c r="O165" s="2"/>
      <c r="P165" s="2"/>
      <c r="Q165" s="2"/>
    </row>
    <row r="166" spans="1:22" ht="13.2">
      <c r="A166" s="42">
        <v>45733</v>
      </c>
      <c r="B166" s="21">
        <v>10</v>
      </c>
      <c r="C166" s="10" t="s">
        <v>33</v>
      </c>
      <c r="D166" s="10" t="s">
        <v>23</v>
      </c>
      <c r="E166" s="21" t="s">
        <v>170</v>
      </c>
      <c r="F166" s="21">
        <v>30</v>
      </c>
      <c r="G166" s="10">
        <f t="shared" ref="G166:G222" si="5">F166*B166</f>
        <v>300</v>
      </c>
      <c r="I166" s="2"/>
      <c r="J166" s="2"/>
      <c r="K166" s="2"/>
      <c r="L166" s="2"/>
      <c r="M166" s="2"/>
      <c r="N166" s="2"/>
      <c r="O166" s="2"/>
      <c r="P166" s="2"/>
      <c r="Q166" s="2"/>
    </row>
    <row r="167" spans="1:22" ht="13.2">
      <c r="A167" s="42">
        <v>45734</v>
      </c>
      <c r="B167" s="10">
        <v>2</v>
      </c>
      <c r="C167" s="10" t="s">
        <v>33</v>
      </c>
      <c r="D167" s="10" t="s">
        <v>23</v>
      </c>
      <c r="E167" s="10" t="s">
        <v>171</v>
      </c>
      <c r="F167" s="10">
        <v>11.8</v>
      </c>
      <c r="G167" s="10">
        <f t="shared" si="5"/>
        <v>23.6</v>
      </c>
      <c r="H167" s="2"/>
      <c r="I167" s="2"/>
      <c r="J167" s="2"/>
      <c r="K167" s="2"/>
      <c r="L167" s="2"/>
      <c r="M167" s="2"/>
      <c r="N167" s="2"/>
      <c r="O167" s="2"/>
      <c r="P167" s="2"/>
      <c r="Q167" s="2"/>
    </row>
    <row r="168" spans="1:22" ht="13.2">
      <c r="A168" s="42">
        <v>45734</v>
      </c>
      <c r="B168" s="21">
        <v>1</v>
      </c>
      <c r="C168" s="10" t="s">
        <v>31</v>
      </c>
      <c r="D168" s="10" t="s">
        <v>31</v>
      </c>
      <c r="E168" s="21" t="s">
        <v>172</v>
      </c>
      <c r="F168" s="21">
        <v>25</v>
      </c>
      <c r="G168" s="10">
        <f t="shared" si="5"/>
        <v>25</v>
      </c>
      <c r="H168" s="2"/>
      <c r="I168" s="2"/>
      <c r="J168" s="2"/>
      <c r="K168" s="2"/>
      <c r="L168" s="2"/>
      <c r="M168" s="2"/>
      <c r="N168" s="2"/>
      <c r="O168" s="2"/>
      <c r="P168" s="2"/>
      <c r="Q168" s="2"/>
    </row>
    <row r="169" spans="1:22" ht="13.2">
      <c r="A169" s="42">
        <v>45734</v>
      </c>
      <c r="B169" s="21">
        <v>1</v>
      </c>
      <c r="C169" s="10" t="s">
        <v>27</v>
      </c>
      <c r="D169" s="10" t="s">
        <v>27</v>
      </c>
      <c r="E169" s="10" t="s">
        <v>64</v>
      </c>
      <c r="F169" s="21">
        <v>95</v>
      </c>
      <c r="G169" s="10">
        <f t="shared" si="5"/>
        <v>95</v>
      </c>
      <c r="H169" s="2"/>
      <c r="I169" s="2"/>
      <c r="J169" s="2"/>
      <c r="K169" s="2"/>
      <c r="L169" s="2"/>
      <c r="M169" s="2"/>
      <c r="N169" s="2"/>
      <c r="O169" s="2"/>
      <c r="P169" s="2"/>
      <c r="Q169" s="2"/>
    </row>
    <row r="170" spans="1:22" ht="13.2">
      <c r="A170" s="42">
        <v>45734</v>
      </c>
      <c r="B170" s="21">
        <v>1</v>
      </c>
      <c r="C170" s="10" t="s">
        <v>40</v>
      </c>
      <c r="D170" s="10" t="s">
        <v>40</v>
      </c>
      <c r="E170" s="21" t="s">
        <v>173</v>
      </c>
      <c r="F170" s="10">
        <v>1082.5</v>
      </c>
      <c r="G170" s="10">
        <f t="shared" si="5"/>
        <v>1082.5</v>
      </c>
      <c r="H170" s="2"/>
      <c r="I170" s="2"/>
      <c r="J170" s="2"/>
      <c r="K170" s="2"/>
      <c r="L170" s="2"/>
      <c r="M170" s="2"/>
      <c r="N170" s="2"/>
      <c r="O170" s="2"/>
      <c r="P170" s="2"/>
      <c r="Q170" s="2"/>
    </row>
    <row r="171" spans="1:22" ht="13.2">
      <c r="A171" s="158">
        <v>45734</v>
      </c>
      <c r="B171" s="23">
        <v>1</v>
      </c>
      <c r="C171" s="23" t="s">
        <v>31</v>
      </c>
      <c r="D171" s="23" t="s">
        <v>31</v>
      </c>
      <c r="E171" s="23" t="s">
        <v>174</v>
      </c>
      <c r="F171" s="23">
        <v>2550</v>
      </c>
      <c r="G171" s="23">
        <f t="shared" si="5"/>
        <v>2550</v>
      </c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</row>
    <row r="172" spans="1:22" ht="13.2">
      <c r="A172" s="42">
        <v>45735</v>
      </c>
      <c r="B172" s="21">
        <v>4</v>
      </c>
      <c r="C172" s="10" t="s">
        <v>25</v>
      </c>
      <c r="D172" s="10" t="s">
        <v>25</v>
      </c>
      <c r="E172" s="11" t="s">
        <v>175</v>
      </c>
      <c r="F172" s="21">
        <v>1000</v>
      </c>
      <c r="G172" s="10">
        <f t="shared" si="5"/>
        <v>4000</v>
      </c>
      <c r="H172" s="2"/>
      <c r="I172" s="2"/>
      <c r="J172" s="2"/>
      <c r="K172" s="2"/>
      <c r="L172" s="2"/>
      <c r="M172" s="2"/>
      <c r="N172" s="2"/>
      <c r="O172" s="2"/>
      <c r="P172" s="2"/>
      <c r="Q172" s="2"/>
    </row>
    <row r="173" spans="1:22" ht="13.2">
      <c r="A173" s="42">
        <v>45735</v>
      </c>
      <c r="B173" s="10">
        <v>1</v>
      </c>
      <c r="C173" s="10" t="s">
        <v>31</v>
      </c>
      <c r="D173" s="10" t="s">
        <v>31</v>
      </c>
      <c r="E173" s="10" t="s">
        <v>176</v>
      </c>
      <c r="F173" s="10">
        <v>39.590000000000003</v>
      </c>
      <c r="G173" s="10">
        <f t="shared" si="5"/>
        <v>39.590000000000003</v>
      </c>
      <c r="H173" s="2"/>
      <c r="I173" s="2"/>
      <c r="J173" s="2"/>
      <c r="K173" s="2"/>
      <c r="L173" s="2"/>
      <c r="M173" s="2"/>
      <c r="N173" s="2"/>
      <c r="O173" s="2"/>
      <c r="P173" s="2"/>
      <c r="Q173" s="2"/>
    </row>
    <row r="174" spans="1:22" ht="13.2">
      <c r="A174" s="42">
        <v>45735</v>
      </c>
      <c r="B174" s="10">
        <v>1</v>
      </c>
      <c r="C174" s="10" t="s">
        <v>31</v>
      </c>
      <c r="D174" s="10" t="s">
        <v>31</v>
      </c>
      <c r="E174" s="10" t="s">
        <v>1</v>
      </c>
      <c r="F174" s="10">
        <v>12.2</v>
      </c>
      <c r="G174" s="10">
        <f t="shared" si="5"/>
        <v>12.2</v>
      </c>
      <c r="H174" s="2"/>
      <c r="I174" s="2"/>
      <c r="J174" s="2"/>
      <c r="K174" s="2"/>
      <c r="L174" s="2"/>
      <c r="M174" s="2"/>
      <c r="N174" s="2"/>
      <c r="O174" s="2"/>
      <c r="P174" s="2"/>
      <c r="Q174" s="2"/>
    </row>
    <row r="175" spans="1:22" ht="13.2">
      <c r="A175" s="42">
        <v>45735</v>
      </c>
      <c r="B175" s="10">
        <v>1</v>
      </c>
      <c r="C175" s="10" t="s">
        <v>31</v>
      </c>
      <c r="D175" s="10" t="s">
        <v>31</v>
      </c>
      <c r="E175" s="10" t="s">
        <v>146</v>
      </c>
      <c r="F175" s="10">
        <v>24.8</v>
      </c>
      <c r="G175" s="10">
        <f t="shared" si="5"/>
        <v>24.8</v>
      </c>
      <c r="H175" s="2"/>
      <c r="I175" s="2"/>
      <c r="J175" s="2"/>
      <c r="K175" s="2"/>
      <c r="L175" s="2"/>
      <c r="M175" s="2"/>
      <c r="N175" s="2"/>
      <c r="O175" s="2"/>
      <c r="P175" s="2"/>
      <c r="Q175" s="2"/>
    </row>
    <row r="176" spans="1:22" ht="13.2">
      <c r="A176" s="42">
        <v>45735</v>
      </c>
      <c r="B176" s="10">
        <v>1</v>
      </c>
      <c r="C176" s="10" t="s">
        <v>27</v>
      </c>
      <c r="D176" s="10" t="s">
        <v>27</v>
      </c>
      <c r="E176" s="10" t="s">
        <v>64</v>
      </c>
      <c r="F176" s="10">
        <v>450</v>
      </c>
      <c r="G176" s="10">
        <f t="shared" si="5"/>
        <v>450</v>
      </c>
      <c r="H176" s="2"/>
      <c r="I176" s="2"/>
      <c r="J176" s="2"/>
      <c r="K176" s="2"/>
      <c r="L176" s="2"/>
      <c r="M176" s="2"/>
      <c r="N176" s="2"/>
      <c r="O176" s="2"/>
      <c r="P176" s="2"/>
      <c r="Q176" s="2"/>
    </row>
    <row r="177" spans="1:17" ht="13.2">
      <c r="A177" s="42">
        <v>45736</v>
      </c>
      <c r="B177" s="10">
        <v>1</v>
      </c>
      <c r="C177" s="10" t="s">
        <v>31</v>
      </c>
      <c r="D177" s="10" t="s">
        <v>31</v>
      </c>
      <c r="E177" s="10" t="s">
        <v>1</v>
      </c>
      <c r="F177" s="2">
        <v>12</v>
      </c>
      <c r="G177" s="10">
        <f t="shared" si="5"/>
        <v>12</v>
      </c>
      <c r="H177" s="2"/>
      <c r="I177" s="2"/>
      <c r="J177" s="2"/>
      <c r="K177" s="2"/>
      <c r="L177" s="2"/>
      <c r="M177" s="2"/>
      <c r="N177" s="2"/>
      <c r="O177" s="2"/>
      <c r="P177" s="2"/>
      <c r="Q177" s="2"/>
    </row>
    <row r="178" spans="1:17" ht="13.2">
      <c r="A178" s="42">
        <v>45736</v>
      </c>
      <c r="B178" s="10">
        <v>1</v>
      </c>
      <c r="C178" s="10" t="s">
        <v>33</v>
      </c>
      <c r="D178" s="10" t="s">
        <v>23</v>
      </c>
      <c r="E178" s="10" t="s">
        <v>177</v>
      </c>
      <c r="F178" s="10">
        <v>8</v>
      </c>
      <c r="G178" s="10">
        <f t="shared" si="5"/>
        <v>8</v>
      </c>
      <c r="H178" s="2"/>
      <c r="I178" s="2"/>
      <c r="J178" s="2"/>
      <c r="K178" s="2"/>
      <c r="L178" s="2"/>
      <c r="M178" s="2"/>
      <c r="N178" s="2"/>
      <c r="O178" s="2"/>
      <c r="P178" s="2"/>
      <c r="Q178" s="2"/>
    </row>
    <row r="179" spans="1:17" ht="13.2">
      <c r="A179" s="42">
        <v>45736</v>
      </c>
      <c r="B179" s="10">
        <v>1</v>
      </c>
      <c r="C179" s="10" t="s">
        <v>60</v>
      </c>
      <c r="D179" s="10" t="s">
        <v>23</v>
      </c>
      <c r="E179" s="10" t="s">
        <v>113</v>
      </c>
      <c r="F179" s="10">
        <v>60</v>
      </c>
      <c r="G179" s="10">
        <f t="shared" si="5"/>
        <v>60</v>
      </c>
      <c r="H179" s="2"/>
      <c r="I179" s="2"/>
      <c r="J179" s="2"/>
      <c r="K179" s="2"/>
      <c r="L179" s="2"/>
      <c r="M179" s="2"/>
      <c r="N179" s="2"/>
      <c r="O179" s="2"/>
      <c r="P179" s="2"/>
      <c r="Q179" s="2"/>
    </row>
    <row r="180" spans="1:17" ht="13.2">
      <c r="A180" s="42">
        <v>45736</v>
      </c>
      <c r="B180" s="10">
        <v>7</v>
      </c>
      <c r="C180" s="10" t="s">
        <v>33</v>
      </c>
      <c r="D180" s="10" t="s">
        <v>23</v>
      </c>
      <c r="E180" s="10" t="s">
        <v>178</v>
      </c>
      <c r="F180" s="10">
        <v>19.93</v>
      </c>
      <c r="G180" s="10">
        <f t="shared" si="5"/>
        <v>139.51</v>
      </c>
      <c r="H180" s="2"/>
      <c r="I180" s="2"/>
      <c r="J180" s="2"/>
      <c r="K180" s="2"/>
      <c r="L180" s="2"/>
      <c r="M180" s="2"/>
      <c r="N180" s="2"/>
      <c r="O180" s="2"/>
      <c r="P180" s="2"/>
      <c r="Q180" s="2"/>
    </row>
    <row r="181" spans="1:17" ht="13.2">
      <c r="A181" s="42">
        <v>45736</v>
      </c>
      <c r="B181" s="10">
        <v>1</v>
      </c>
      <c r="C181" s="10" t="s">
        <v>33</v>
      </c>
      <c r="D181" s="10" t="s">
        <v>23</v>
      </c>
      <c r="E181" s="10" t="s">
        <v>179</v>
      </c>
      <c r="F181" s="10">
        <v>247.2</v>
      </c>
      <c r="G181" s="10">
        <f t="shared" si="5"/>
        <v>247.2</v>
      </c>
      <c r="I181" s="2"/>
      <c r="J181" s="2"/>
      <c r="K181" s="2"/>
      <c r="L181" s="2"/>
      <c r="M181" s="2"/>
      <c r="N181" s="2"/>
      <c r="O181" s="2"/>
      <c r="P181" s="2"/>
      <c r="Q181" s="2"/>
    </row>
    <row r="182" spans="1:17" ht="13.2">
      <c r="A182" s="42">
        <v>45736</v>
      </c>
      <c r="B182" s="10">
        <v>1</v>
      </c>
      <c r="C182" s="10" t="s">
        <v>55</v>
      </c>
      <c r="D182" s="10" t="s">
        <v>56</v>
      </c>
      <c r="E182" s="10" t="s">
        <v>180</v>
      </c>
      <c r="F182" s="10">
        <v>220</v>
      </c>
      <c r="G182" s="10">
        <f t="shared" si="5"/>
        <v>220</v>
      </c>
      <c r="H182" s="36"/>
      <c r="I182" s="2"/>
      <c r="J182" s="2"/>
      <c r="K182" s="2"/>
      <c r="L182" s="2"/>
      <c r="M182" s="2"/>
      <c r="N182" s="2"/>
      <c r="O182" s="2"/>
      <c r="P182" s="2"/>
      <c r="Q182" s="2"/>
    </row>
    <row r="183" spans="1:17" ht="13.2">
      <c r="A183" s="42">
        <v>45736</v>
      </c>
      <c r="B183" s="10">
        <v>2</v>
      </c>
      <c r="C183" s="10" t="s">
        <v>33</v>
      </c>
      <c r="D183" s="10" t="s">
        <v>23</v>
      </c>
      <c r="E183" s="10" t="s">
        <v>178</v>
      </c>
      <c r="F183" s="10">
        <v>19.93</v>
      </c>
      <c r="G183" s="10">
        <f t="shared" si="5"/>
        <v>39.86</v>
      </c>
      <c r="H183" s="2"/>
      <c r="I183" s="2"/>
      <c r="J183" s="2"/>
      <c r="K183" s="2"/>
      <c r="L183" s="2"/>
      <c r="M183" s="2"/>
      <c r="N183" s="2"/>
      <c r="O183" s="2"/>
      <c r="P183" s="2"/>
      <c r="Q183" s="2"/>
    </row>
    <row r="184" spans="1:17" ht="13.2">
      <c r="A184" s="42">
        <v>45740</v>
      </c>
      <c r="B184" s="10">
        <v>1</v>
      </c>
      <c r="C184" s="10" t="s">
        <v>33</v>
      </c>
      <c r="D184" s="10" t="s">
        <v>23</v>
      </c>
      <c r="E184" s="10" t="s">
        <v>147</v>
      </c>
      <c r="F184" s="10">
        <v>13</v>
      </c>
      <c r="G184" s="10">
        <f t="shared" si="5"/>
        <v>13</v>
      </c>
      <c r="H184" s="2"/>
      <c r="I184" s="2"/>
      <c r="J184" s="2"/>
      <c r="K184" s="2"/>
      <c r="L184" s="2"/>
      <c r="M184" s="2"/>
      <c r="N184" s="2"/>
      <c r="O184" s="2"/>
      <c r="P184" s="2"/>
      <c r="Q184" s="2"/>
    </row>
    <row r="185" spans="1:17" ht="13.2">
      <c r="A185" s="42">
        <v>45740</v>
      </c>
      <c r="B185" s="10">
        <v>1</v>
      </c>
      <c r="C185" s="10" t="s">
        <v>40</v>
      </c>
      <c r="D185" s="10" t="s">
        <v>40</v>
      </c>
      <c r="E185" s="21" t="s">
        <v>173</v>
      </c>
      <c r="F185" s="21">
        <v>652.5</v>
      </c>
      <c r="G185" s="10">
        <f t="shared" si="5"/>
        <v>652.5</v>
      </c>
      <c r="H185" s="2"/>
      <c r="I185" s="2"/>
      <c r="J185" s="2"/>
      <c r="K185" s="2"/>
      <c r="L185" s="2"/>
      <c r="M185" s="2"/>
      <c r="N185" s="2"/>
      <c r="O185" s="2"/>
      <c r="P185" s="2"/>
      <c r="Q185" s="2"/>
    </row>
    <row r="186" spans="1:17" ht="13.2">
      <c r="A186" s="42">
        <v>45740</v>
      </c>
      <c r="B186" s="10">
        <v>1</v>
      </c>
      <c r="C186" s="10" t="s">
        <v>40</v>
      </c>
      <c r="D186" s="10" t="s">
        <v>40</v>
      </c>
      <c r="E186" s="21" t="s">
        <v>181</v>
      </c>
      <c r="F186" s="21">
        <v>67.5</v>
      </c>
      <c r="G186" s="10">
        <f t="shared" si="5"/>
        <v>67.5</v>
      </c>
      <c r="H186" s="2"/>
      <c r="I186" s="2"/>
      <c r="J186" s="2"/>
      <c r="K186" s="2"/>
      <c r="L186" s="2"/>
      <c r="M186" s="2"/>
      <c r="N186" s="2"/>
      <c r="O186" s="2"/>
      <c r="P186" s="2"/>
      <c r="Q186" s="2"/>
    </row>
    <row r="187" spans="1:17" ht="13.2">
      <c r="A187" s="42">
        <v>45740</v>
      </c>
      <c r="B187" s="10">
        <v>1</v>
      </c>
      <c r="C187" s="10" t="s">
        <v>40</v>
      </c>
      <c r="D187" s="10" t="s">
        <v>40</v>
      </c>
      <c r="E187" s="21" t="s">
        <v>87</v>
      </c>
      <c r="F187" s="21">
        <v>180</v>
      </c>
      <c r="G187" s="10">
        <f t="shared" si="5"/>
        <v>180</v>
      </c>
      <c r="H187" s="2"/>
      <c r="I187" s="2"/>
      <c r="J187" s="2"/>
      <c r="K187" s="2"/>
      <c r="L187" s="2"/>
      <c r="M187" s="2"/>
      <c r="N187" s="2"/>
      <c r="O187" s="2"/>
      <c r="P187" s="2"/>
      <c r="Q187" s="2"/>
    </row>
    <row r="188" spans="1:17" ht="13.2">
      <c r="A188" s="42">
        <v>45740</v>
      </c>
      <c r="B188" s="10">
        <v>1</v>
      </c>
      <c r="C188" s="10" t="s">
        <v>40</v>
      </c>
      <c r="D188" s="10" t="s">
        <v>40</v>
      </c>
      <c r="E188" s="21" t="s">
        <v>182</v>
      </c>
      <c r="F188" s="21">
        <v>75</v>
      </c>
      <c r="G188" s="10">
        <f t="shared" si="5"/>
        <v>75</v>
      </c>
      <c r="H188" s="2"/>
      <c r="I188" s="2"/>
      <c r="J188" s="2"/>
      <c r="K188" s="2"/>
      <c r="L188" s="2"/>
      <c r="M188" s="2"/>
      <c r="N188" s="2"/>
      <c r="O188" s="2"/>
      <c r="P188" s="2"/>
      <c r="Q188" s="2"/>
    </row>
    <row r="189" spans="1:17" ht="13.2">
      <c r="A189" s="42">
        <v>45741</v>
      </c>
      <c r="B189" s="21">
        <v>1</v>
      </c>
      <c r="C189" s="10" t="s">
        <v>33</v>
      </c>
      <c r="D189" s="10" t="s">
        <v>23</v>
      </c>
      <c r="E189" s="21" t="s">
        <v>147</v>
      </c>
      <c r="F189" s="21">
        <v>13</v>
      </c>
      <c r="G189" s="10">
        <f t="shared" si="5"/>
        <v>13</v>
      </c>
      <c r="H189" s="2"/>
      <c r="I189" s="2"/>
      <c r="J189" s="2"/>
      <c r="K189" s="2"/>
      <c r="L189" s="2"/>
    </row>
    <row r="190" spans="1:17" ht="13.2">
      <c r="A190" s="42">
        <v>45742</v>
      </c>
      <c r="B190" s="10">
        <v>1</v>
      </c>
      <c r="C190" s="10" t="s">
        <v>31</v>
      </c>
      <c r="D190" s="10" t="s">
        <v>31</v>
      </c>
      <c r="E190" s="10" t="s">
        <v>1</v>
      </c>
      <c r="F190" s="10">
        <v>12.6</v>
      </c>
      <c r="G190" s="10">
        <f t="shared" si="5"/>
        <v>12.6</v>
      </c>
      <c r="H190" s="2"/>
      <c r="I190" s="2"/>
      <c r="J190" s="2"/>
      <c r="K190" s="2"/>
      <c r="L190" s="2"/>
    </row>
    <row r="191" spans="1:17" ht="13.2">
      <c r="A191" s="42">
        <v>45742</v>
      </c>
      <c r="B191" s="10">
        <v>3</v>
      </c>
      <c r="C191" s="10" t="s">
        <v>31</v>
      </c>
      <c r="D191" s="10" t="s">
        <v>31</v>
      </c>
      <c r="E191" s="10" t="s">
        <v>166</v>
      </c>
      <c r="F191" s="10">
        <v>2.5</v>
      </c>
      <c r="G191" s="10">
        <f t="shared" si="5"/>
        <v>7.5</v>
      </c>
      <c r="H191" s="2"/>
      <c r="I191" s="2"/>
      <c r="J191" s="2"/>
      <c r="K191" s="2"/>
      <c r="L191" s="2"/>
    </row>
    <row r="192" spans="1:17" ht="13.2">
      <c r="A192" s="42">
        <v>45742</v>
      </c>
      <c r="B192" s="21">
        <v>4</v>
      </c>
      <c r="C192" s="10" t="s">
        <v>33</v>
      </c>
      <c r="D192" s="10" t="s">
        <v>23</v>
      </c>
      <c r="E192" s="21" t="s">
        <v>183</v>
      </c>
      <c r="F192" s="21">
        <v>30</v>
      </c>
      <c r="G192" s="10">
        <f t="shared" si="5"/>
        <v>120</v>
      </c>
      <c r="H192" s="2"/>
      <c r="I192" s="2"/>
      <c r="J192" s="2"/>
      <c r="K192" s="2"/>
      <c r="L192" s="2"/>
    </row>
    <row r="193" spans="1:17" ht="13.2">
      <c r="A193" s="42">
        <v>45743</v>
      </c>
      <c r="B193" s="10">
        <v>1</v>
      </c>
      <c r="C193" s="10" t="s">
        <v>73</v>
      </c>
      <c r="D193" s="10" t="s">
        <v>73</v>
      </c>
      <c r="E193" s="10" t="s">
        <v>184</v>
      </c>
      <c r="F193" s="10">
        <v>100</v>
      </c>
      <c r="G193" s="10">
        <f t="shared" si="5"/>
        <v>100</v>
      </c>
      <c r="I193" s="2"/>
      <c r="J193" s="2"/>
      <c r="K193" s="2"/>
      <c r="L193" s="2" t="s">
        <v>185</v>
      </c>
    </row>
    <row r="194" spans="1:17" ht="13.2">
      <c r="A194" s="42">
        <v>45744</v>
      </c>
      <c r="B194" s="10">
        <v>1</v>
      </c>
      <c r="C194" s="10" t="s">
        <v>25</v>
      </c>
      <c r="D194" s="10" t="s">
        <v>25</v>
      </c>
      <c r="E194" s="11" t="s">
        <v>175</v>
      </c>
      <c r="F194" s="11">
        <v>1099</v>
      </c>
      <c r="G194" s="11">
        <f t="shared" si="5"/>
        <v>1099</v>
      </c>
      <c r="I194" s="2"/>
      <c r="J194" s="2"/>
      <c r="K194" s="2"/>
      <c r="L194" s="2"/>
    </row>
    <row r="195" spans="1:17" ht="13.2">
      <c r="A195" s="42">
        <v>45744</v>
      </c>
      <c r="B195" s="19">
        <v>1</v>
      </c>
      <c r="C195" s="10" t="s">
        <v>31</v>
      </c>
      <c r="D195" s="10" t="s">
        <v>31</v>
      </c>
      <c r="E195" s="21" t="s">
        <v>186</v>
      </c>
      <c r="F195" s="21">
        <v>2.5</v>
      </c>
      <c r="G195" s="10">
        <f t="shared" si="5"/>
        <v>2.5</v>
      </c>
      <c r="I195" s="6"/>
      <c r="J195" s="2"/>
      <c r="K195" s="2"/>
      <c r="L195" s="2"/>
    </row>
    <row r="196" spans="1:17" ht="13.2">
      <c r="A196" s="42">
        <v>45747</v>
      </c>
      <c r="B196" s="10">
        <v>6</v>
      </c>
      <c r="C196" s="10" t="s">
        <v>22</v>
      </c>
      <c r="D196" s="10" t="s">
        <v>23</v>
      </c>
      <c r="E196" s="21" t="s">
        <v>187</v>
      </c>
      <c r="F196" s="12">
        <v>19</v>
      </c>
      <c r="G196" s="12">
        <f t="shared" si="5"/>
        <v>114</v>
      </c>
      <c r="I196" s="2"/>
      <c r="J196" s="2"/>
      <c r="K196" s="2"/>
      <c r="L196" s="2"/>
    </row>
    <row r="197" spans="1:17" ht="13.2">
      <c r="A197" s="42">
        <v>45747</v>
      </c>
      <c r="B197" s="10">
        <v>2</v>
      </c>
      <c r="C197" s="10" t="s">
        <v>22</v>
      </c>
      <c r="D197" s="10" t="s">
        <v>23</v>
      </c>
      <c r="E197" s="21" t="s">
        <v>188</v>
      </c>
      <c r="F197" s="10">
        <v>11</v>
      </c>
      <c r="G197" s="10">
        <f t="shared" si="5"/>
        <v>22</v>
      </c>
      <c r="I197" s="2"/>
      <c r="J197" s="2"/>
      <c r="K197" s="2"/>
      <c r="L197" s="2"/>
    </row>
    <row r="198" spans="1:17" ht="13.2">
      <c r="A198" s="42">
        <v>45747</v>
      </c>
      <c r="B198" s="10">
        <v>2</v>
      </c>
      <c r="C198" s="10" t="s">
        <v>22</v>
      </c>
      <c r="D198" s="10" t="s">
        <v>23</v>
      </c>
      <c r="E198" s="10" t="s">
        <v>189</v>
      </c>
      <c r="F198" s="10">
        <v>22</v>
      </c>
      <c r="G198" s="10">
        <f t="shared" si="5"/>
        <v>44</v>
      </c>
      <c r="I198" s="2"/>
      <c r="J198" s="2"/>
      <c r="K198" s="2"/>
      <c r="L198" s="2"/>
    </row>
    <row r="199" spans="1:17" ht="13.2">
      <c r="A199" s="42">
        <v>45747</v>
      </c>
      <c r="B199" s="10">
        <v>2</v>
      </c>
      <c r="C199" s="10" t="s">
        <v>22</v>
      </c>
      <c r="D199" s="10" t="s">
        <v>23</v>
      </c>
      <c r="E199" s="10" t="s">
        <v>190</v>
      </c>
      <c r="F199" s="10">
        <v>14</v>
      </c>
      <c r="G199" s="10">
        <f t="shared" si="5"/>
        <v>28</v>
      </c>
      <c r="I199" s="2"/>
      <c r="J199" s="2"/>
      <c r="K199" s="2"/>
      <c r="L199" s="2"/>
    </row>
    <row r="200" spans="1:17" ht="13.2">
      <c r="A200" s="42">
        <v>45747</v>
      </c>
      <c r="B200" s="10">
        <v>2</v>
      </c>
      <c r="C200" s="10" t="s">
        <v>22</v>
      </c>
      <c r="D200" s="10" t="s">
        <v>23</v>
      </c>
      <c r="E200" s="10" t="s">
        <v>191</v>
      </c>
      <c r="F200" s="10">
        <v>14</v>
      </c>
      <c r="G200" s="10">
        <f t="shared" si="5"/>
        <v>28</v>
      </c>
      <c r="I200" s="2"/>
      <c r="J200" s="2"/>
      <c r="K200" s="2"/>
      <c r="L200" s="2"/>
    </row>
    <row r="201" spans="1:17" ht="13.2">
      <c r="A201" s="42">
        <v>45747</v>
      </c>
      <c r="B201" s="10">
        <v>1</v>
      </c>
      <c r="C201" s="10" t="s">
        <v>22</v>
      </c>
      <c r="D201" s="10" t="s">
        <v>23</v>
      </c>
      <c r="E201" s="10" t="s">
        <v>132</v>
      </c>
      <c r="F201" s="10">
        <v>52</v>
      </c>
      <c r="G201" s="10">
        <f t="shared" si="5"/>
        <v>52</v>
      </c>
      <c r="I201" s="2"/>
      <c r="J201" s="2"/>
      <c r="K201" s="2"/>
      <c r="L201" s="2"/>
    </row>
    <row r="202" spans="1:17" ht="13.2">
      <c r="A202" s="42">
        <v>45747</v>
      </c>
      <c r="B202" s="10">
        <v>1</v>
      </c>
      <c r="C202" s="10" t="s">
        <v>40</v>
      </c>
      <c r="D202" s="10" t="s">
        <v>40</v>
      </c>
      <c r="E202" s="10" t="s">
        <v>161</v>
      </c>
      <c r="F202" s="10">
        <v>437.5</v>
      </c>
      <c r="G202" s="10">
        <f t="shared" si="5"/>
        <v>437.5</v>
      </c>
      <c r="I202" s="2"/>
      <c r="J202" s="2"/>
      <c r="K202" s="2"/>
      <c r="L202" s="2" t="s">
        <v>185</v>
      </c>
    </row>
    <row r="203" spans="1:17" ht="13.2">
      <c r="A203" s="42">
        <v>45747</v>
      </c>
      <c r="B203" s="10">
        <v>1</v>
      </c>
      <c r="C203" s="10" t="s">
        <v>33</v>
      </c>
      <c r="D203" s="10" t="s">
        <v>23</v>
      </c>
      <c r="E203" s="10" t="s">
        <v>192</v>
      </c>
      <c r="F203" s="21">
        <v>3042.5</v>
      </c>
      <c r="G203" s="10">
        <f t="shared" si="5"/>
        <v>3042.5</v>
      </c>
      <c r="H203" s="2"/>
      <c r="J203" s="2"/>
      <c r="K203" s="2"/>
      <c r="L203" s="2"/>
      <c r="M203" s="2"/>
      <c r="N203" s="2"/>
      <c r="O203" s="2"/>
      <c r="P203" s="2"/>
      <c r="Q203" s="2"/>
    </row>
    <row r="204" spans="1:17" ht="13.2">
      <c r="A204" s="158">
        <v>45746</v>
      </c>
      <c r="B204" s="23">
        <v>1</v>
      </c>
      <c r="C204" s="23" t="s">
        <v>31</v>
      </c>
      <c r="D204" s="23" t="s">
        <v>31</v>
      </c>
      <c r="E204" s="23" t="s">
        <v>122</v>
      </c>
      <c r="F204" s="23">
        <v>10000</v>
      </c>
      <c r="G204" s="23">
        <f t="shared" si="5"/>
        <v>10000</v>
      </c>
      <c r="H204" s="2"/>
      <c r="J204" s="2"/>
      <c r="K204" s="2"/>
      <c r="L204" s="2"/>
      <c r="M204" s="2"/>
      <c r="N204" s="2"/>
      <c r="O204" s="2"/>
      <c r="P204" s="2"/>
      <c r="Q204" s="2"/>
    </row>
    <row r="205" spans="1:17" ht="13.2">
      <c r="A205" s="158">
        <v>45746</v>
      </c>
      <c r="B205" s="23">
        <v>3</v>
      </c>
      <c r="C205" s="23" t="s">
        <v>31</v>
      </c>
      <c r="D205" s="23" t="s">
        <v>31</v>
      </c>
      <c r="E205" s="23" t="s">
        <v>48</v>
      </c>
      <c r="F205" s="23">
        <v>128.47999999999999</v>
      </c>
      <c r="G205" s="23">
        <f t="shared" si="5"/>
        <v>385.43999999999994</v>
      </c>
      <c r="H205" s="2"/>
      <c r="J205" s="2"/>
      <c r="K205" s="2"/>
      <c r="L205" s="2"/>
      <c r="M205" s="2"/>
      <c r="N205" s="2"/>
      <c r="O205" s="2"/>
      <c r="P205" s="2"/>
      <c r="Q205" s="2"/>
    </row>
    <row r="206" spans="1:17" ht="13.2">
      <c r="A206" s="158">
        <v>45746</v>
      </c>
      <c r="B206" s="23">
        <v>1</v>
      </c>
      <c r="C206" s="23" t="s">
        <v>31</v>
      </c>
      <c r="D206" s="23" t="s">
        <v>31</v>
      </c>
      <c r="E206" s="23" t="s">
        <v>49</v>
      </c>
      <c r="F206" s="23">
        <v>146.9</v>
      </c>
      <c r="G206" s="23">
        <f t="shared" si="5"/>
        <v>146.9</v>
      </c>
      <c r="H206" s="2"/>
      <c r="J206" s="2"/>
      <c r="K206" s="2"/>
      <c r="L206" s="2"/>
      <c r="M206" s="2"/>
      <c r="N206" s="2"/>
      <c r="O206" s="2"/>
      <c r="P206" s="2"/>
      <c r="Q206" s="2"/>
    </row>
    <row r="207" spans="1:17" ht="13.2">
      <c r="A207" s="158">
        <v>45746</v>
      </c>
      <c r="B207" s="23">
        <v>1</v>
      </c>
      <c r="C207" s="23" t="s">
        <v>193</v>
      </c>
      <c r="D207" s="23" t="s">
        <v>31</v>
      </c>
      <c r="E207" s="23" t="s">
        <v>50</v>
      </c>
      <c r="F207" s="23">
        <v>300</v>
      </c>
      <c r="G207" s="23">
        <f t="shared" si="5"/>
        <v>300</v>
      </c>
      <c r="H207" s="2"/>
      <c r="J207" s="2"/>
      <c r="K207" s="2"/>
      <c r="L207" s="2"/>
      <c r="M207" s="2"/>
      <c r="N207" s="2"/>
      <c r="O207" s="2"/>
      <c r="P207" s="2"/>
      <c r="Q207" s="2"/>
    </row>
    <row r="208" spans="1:17" ht="13.2">
      <c r="A208" s="158">
        <v>45746</v>
      </c>
      <c r="B208" s="23">
        <v>1</v>
      </c>
      <c r="C208" s="23" t="s">
        <v>193</v>
      </c>
      <c r="D208" s="23" t="s">
        <v>31</v>
      </c>
      <c r="E208" s="23" t="s">
        <v>51</v>
      </c>
      <c r="F208" s="23">
        <v>300</v>
      </c>
      <c r="G208" s="23">
        <f t="shared" si="5"/>
        <v>300</v>
      </c>
      <c r="H208" s="2"/>
      <c r="J208" s="2"/>
      <c r="K208" s="2"/>
      <c r="L208" s="2"/>
      <c r="M208" s="2"/>
      <c r="N208" s="2"/>
      <c r="O208" s="2"/>
      <c r="P208" s="2"/>
      <c r="Q208" s="2"/>
    </row>
    <row r="209" spans="1:17" ht="13.2">
      <c r="A209" s="158">
        <v>45746</v>
      </c>
      <c r="B209" s="23">
        <v>1</v>
      </c>
      <c r="C209" s="23" t="s">
        <v>193</v>
      </c>
      <c r="D209" s="23" t="s">
        <v>31</v>
      </c>
      <c r="E209" s="23" t="s">
        <v>52</v>
      </c>
      <c r="F209" s="23">
        <v>100</v>
      </c>
      <c r="G209" s="23">
        <f t="shared" si="5"/>
        <v>100</v>
      </c>
      <c r="H209" s="2"/>
      <c r="J209" s="2"/>
      <c r="K209" s="2"/>
      <c r="L209" s="2"/>
      <c r="M209" s="2"/>
      <c r="N209" s="2"/>
      <c r="O209" s="2"/>
      <c r="P209" s="2"/>
      <c r="Q209" s="2"/>
    </row>
    <row r="210" spans="1:17" ht="13.2">
      <c r="A210" s="158">
        <v>45746</v>
      </c>
      <c r="B210" s="23">
        <v>1</v>
      </c>
      <c r="C210" s="23" t="s">
        <v>193</v>
      </c>
      <c r="D210" s="23" t="s">
        <v>31</v>
      </c>
      <c r="E210" s="23" t="s">
        <v>53</v>
      </c>
      <c r="F210" s="23">
        <v>160</v>
      </c>
      <c r="G210" s="23">
        <f t="shared" si="5"/>
        <v>160</v>
      </c>
      <c r="H210" s="2"/>
      <c r="J210" s="2"/>
      <c r="K210" s="2"/>
      <c r="L210" s="2"/>
      <c r="M210" s="2"/>
      <c r="N210" s="2"/>
      <c r="O210" s="2"/>
      <c r="P210" s="2"/>
      <c r="Q210" s="2"/>
    </row>
    <row r="211" spans="1:17" ht="13.2">
      <c r="A211" s="158">
        <v>45746</v>
      </c>
      <c r="B211" s="23">
        <v>1</v>
      </c>
      <c r="C211" s="23" t="s">
        <v>193</v>
      </c>
      <c r="D211" s="23" t="s">
        <v>31</v>
      </c>
      <c r="E211" s="23" t="s">
        <v>54</v>
      </c>
      <c r="F211" s="23">
        <v>100</v>
      </c>
      <c r="G211" s="23">
        <f t="shared" si="5"/>
        <v>100</v>
      </c>
      <c r="H211" s="2"/>
      <c r="J211" s="2"/>
      <c r="K211" s="2"/>
      <c r="L211" s="2"/>
      <c r="M211" s="2"/>
      <c r="N211" s="2"/>
      <c r="O211" s="2"/>
      <c r="P211" s="2"/>
      <c r="Q211" s="2"/>
    </row>
    <row r="212" spans="1:17" ht="13.2">
      <c r="A212" s="158">
        <v>45746</v>
      </c>
      <c r="B212" s="23">
        <v>1</v>
      </c>
      <c r="C212" s="23" t="s">
        <v>40</v>
      </c>
      <c r="D212" s="23" t="s">
        <v>31</v>
      </c>
      <c r="E212" s="23" t="s">
        <v>116</v>
      </c>
      <c r="F212" s="23">
        <v>40</v>
      </c>
      <c r="G212" s="23">
        <f t="shared" si="5"/>
        <v>40</v>
      </c>
      <c r="H212" s="2"/>
      <c r="J212" s="2"/>
      <c r="K212" s="2"/>
      <c r="L212" s="2"/>
      <c r="M212" s="2"/>
      <c r="N212" s="2"/>
      <c r="O212" s="2"/>
      <c r="P212" s="2"/>
      <c r="Q212" s="2"/>
    </row>
    <row r="213" spans="1:17" ht="13.2">
      <c r="A213" s="158">
        <v>45746</v>
      </c>
      <c r="B213" s="23">
        <v>1</v>
      </c>
      <c r="C213" s="23" t="s">
        <v>31</v>
      </c>
      <c r="D213" s="23" t="s">
        <v>31</v>
      </c>
      <c r="E213" s="23" t="s">
        <v>117</v>
      </c>
      <c r="F213" s="23">
        <v>650</v>
      </c>
      <c r="G213" s="23">
        <f t="shared" si="5"/>
        <v>650</v>
      </c>
      <c r="H213" s="2"/>
      <c r="J213" s="2"/>
      <c r="K213" s="2"/>
      <c r="L213" s="2"/>
      <c r="M213" s="2"/>
      <c r="N213" s="2"/>
      <c r="O213" s="2"/>
      <c r="P213" s="2"/>
      <c r="Q213" s="2"/>
    </row>
    <row r="214" spans="1:17" ht="13.2">
      <c r="A214" s="158">
        <v>45746</v>
      </c>
      <c r="B214" s="23">
        <v>2</v>
      </c>
      <c r="C214" s="23" t="s">
        <v>31</v>
      </c>
      <c r="D214" s="23" t="s">
        <v>31</v>
      </c>
      <c r="E214" s="23" t="s">
        <v>118</v>
      </c>
      <c r="F214" s="23">
        <v>146</v>
      </c>
      <c r="G214" s="23">
        <f t="shared" si="5"/>
        <v>292</v>
      </c>
      <c r="H214" s="2"/>
      <c r="J214" s="2"/>
      <c r="K214" s="2"/>
      <c r="L214" s="2"/>
      <c r="M214" s="2"/>
      <c r="N214" s="2"/>
      <c r="O214" s="2"/>
      <c r="P214" s="2"/>
      <c r="Q214" s="2"/>
    </row>
    <row r="215" spans="1:17" ht="13.2">
      <c r="A215" s="158">
        <v>45746</v>
      </c>
      <c r="B215" s="23">
        <v>1</v>
      </c>
      <c r="C215" s="23" t="s">
        <v>194</v>
      </c>
      <c r="D215" s="23" t="s">
        <v>31</v>
      </c>
      <c r="E215" s="23" t="s">
        <v>119</v>
      </c>
      <c r="F215" s="23">
        <v>430</v>
      </c>
      <c r="G215" s="23">
        <f t="shared" si="5"/>
        <v>430</v>
      </c>
      <c r="H215" s="2"/>
      <c r="J215" s="2"/>
      <c r="K215" s="2"/>
      <c r="L215" s="2"/>
      <c r="M215" s="2"/>
      <c r="N215" s="2"/>
      <c r="O215" s="2"/>
      <c r="P215" s="2"/>
      <c r="Q215" s="2"/>
    </row>
    <row r="216" spans="1:17" ht="13.2">
      <c r="A216" s="158">
        <v>45746</v>
      </c>
      <c r="B216" s="23">
        <v>1</v>
      </c>
      <c r="C216" s="23" t="s">
        <v>194</v>
      </c>
      <c r="D216" s="23" t="s">
        <v>31</v>
      </c>
      <c r="E216" s="23" t="s">
        <v>120</v>
      </c>
      <c r="F216" s="23">
        <v>80</v>
      </c>
      <c r="G216" s="23">
        <f t="shared" si="5"/>
        <v>80</v>
      </c>
      <c r="H216" s="2"/>
      <c r="J216" s="2"/>
      <c r="K216" s="2"/>
      <c r="L216" s="2"/>
      <c r="M216" s="2"/>
      <c r="N216" s="2"/>
      <c r="O216" s="2"/>
      <c r="P216" s="2"/>
      <c r="Q216" s="2"/>
    </row>
    <row r="217" spans="1:17" ht="13.2">
      <c r="A217" s="158">
        <v>45746</v>
      </c>
      <c r="B217" s="23">
        <v>2</v>
      </c>
      <c r="C217" s="23" t="s">
        <v>194</v>
      </c>
      <c r="D217" s="23" t="s">
        <v>31</v>
      </c>
      <c r="E217" s="23" t="s">
        <v>121</v>
      </c>
      <c r="F217" s="23">
        <v>74</v>
      </c>
      <c r="G217" s="23">
        <f t="shared" si="5"/>
        <v>148</v>
      </c>
      <c r="H217" s="2"/>
      <c r="J217" s="2"/>
      <c r="K217" s="2"/>
      <c r="L217" s="2"/>
      <c r="M217" s="2"/>
      <c r="N217" s="2"/>
      <c r="O217" s="2"/>
      <c r="P217" s="2"/>
      <c r="Q217" s="2"/>
    </row>
    <row r="218" spans="1:17" ht="13.2">
      <c r="A218" s="158">
        <v>45746</v>
      </c>
      <c r="B218" s="10">
        <v>1</v>
      </c>
      <c r="C218" s="10" t="s">
        <v>60</v>
      </c>
      <c r="D218" s="10" t="s">
        <v>23</v>
      </c>
      <c r="E218" s="10" t="s">
        <v>195</v>
      </c>
      <c r="F218" s="10">
        <v>60</v>
      </c>
      <c r="G218" s="10">
        <f t="shared" si="5"/>
        <v>60</v>
      </c>
      <c r="I218" s="2"/>
      <c r="J218" s="6"/>
      <c r="K218" s="6"/>
      <c r="L218" s="2"/>
    </row>
    <row r="219" spans="1:17" ht="13.2">
      <c r="A219" s="158">
        <v>45746</v>
      </c>
      <c r="B219" s="10">
        <v>1</v>
      </c>
      <c r="C219" s="10" t="s">
        <v>55</v>
      </c>
      <c r="D219" s="10" t="s">
        <v>56</v>
      </c>
      <c r="E219" s="10" t="s">
        <v>57</v>
      </c>
      <c r="F219" s="10">
        <v>650</v>
      </c>
      <c r="G219" s="10">
        <f t="shared" si="5"/>
        <v>650</v>
      </c>
      <c r="I219" s="2"/>
      <c r="J219" s="2"/>
      <c r="K219" s="2"/>
      <c r="L219" s="2"/>
    </row>
    <row r="220" spans="1:17" ht="13.2">
      <c r="A220" s="158">
        <v>45746</v>
      </c>
      <c r="B220" s="10">
        <v>1</v>
      </c>
      <c r="C220" s="10" t="s">
        <v>55</v>
      </c>
      <c r="D220" s="10" t="s">
        <v>31</v>
      </c>
      <c r="E220" s="10" t="s">
        <v>196</v>
      </c>
      <c r="F220" s="10">
        <v>1302.77</v>
      </c>
      <c r="G220" s="10">
        <f t="shared" si="5"/>
        <v>1302.77</v>
      </c>
      <c r="I220" s="2"/>
      <c r="J220" s="2"/>
      <c r="K220" s="2"/>
      <c r="L220" s="2"/>
    </row>
    <row r="221" spans="1:17" ht="13.2">
      <c r="A221" s="158">
        <v>45746</v>
      </c>
      <c r="B221" s="10">
        <v>1</v>
      </c>
      <c r="C221" s="10" t="s">
        <v>55</v>
      </c>
      <c r="D221" s="10" t="s">
        <v>31</v>
      </c>
      <c r="E221" s="10" t="s">
        <v>197</v>
      </c>
      <c r="F221" s="10">
        <v>1082.46</v>
      </c>
      <c r="G221" s="10">
        <f t="shared" si="5"/>
        <v>1082.46</v>
      </c>
      <c r="I221" s="2"/>
      <c r="J221" s="2"/>
      <c r="K221" s="2"/>
      <c r="L221" s="2"/>
    </row>
    <row r="222" spans="1:17" ht="13.2">
      <c r="A222" s="158">
        <v>45746</v>
      </c>
      <c r="B222" s="10">
        <v>1</v>
      </c>
      <c r="C222" s="10" t="s">
        <v>79</v>
      </c>
      <c r="D222" s="10" t="s">
        <v>31</v>
      </c>
      <c r="E222" s="10" t="s">
        <v>198</v>
      </c>
      <c r="F222" s="10">
        <v>2301.84</v>
      </c>
      <c r="G222" s="10">
        <f t="shared" si="5"/>
        <v>2301.84</v>
      </c>
      <c r="I222" s="2"/>
      <c r="J222" s="2"/>
      <c r="K222" s="2"/>
      <c r="L222" s="2"/>
    </row>
    <row r="223" spans="1:17" ht="13.2">
      <c r="A223" s="158">
        <v>45746</v>
      </c>
      <c r="B223" s="10">
        <v>1</v>
      </c>
      <c r="C223" s="10" t="s">
        <v>79</v>
      </c>
      <c r="D223" s="10" t="s">
        <v>31</v>
      </c>
      <c r="E223" s="10" t="s">
        <v>199</v>
      </c>
      <c r="F223" s="19">
        <v>2128.12</v>
      </c>
      <c r="G223" s="10">
        <f>F222*B223</f>
        <v>2301.84</v>
      </c>
      <c r="I223" s="2"/>
      <c r="J223" s="2"/>
      <c r="K223" s="2"/>
      <c r="L223" s="2"/>
    </row>
    <row r="224" spans="1:17" ht="13.2">
      <c r="A224" s="158">
        <v>45746</v>
      </c>
      <c r="B224" s="10">
        <v>1</v>
      </c>
      <c r="C224" s="10" t="s">
        <v>79</v>
      </c>
      <c r="D224" s="10" t="s">
        <v>31</v>
      </c>
      <c r="E224" s="10" t="s">
        <v>200</v>
      </c>
      <c r="F224" s="10">
        <v>919.38</v>
      </c>
      <c r="G224" s="10">
        <f t="shared" ref="G224:G393" si="6">F224*B224</f>
        <v>919.38</v>
      </c>
      <c r="I224" s="2"/>
      <c r="J224" s="2"/>
      <c r="K224" s="2"/>
      <c r="L224" s="2"/>
    </row>
    <row r="225" spans="1:22" ht="13.2">
      <c r="A225" s="158">
        <v>45746</v>
      </c>
      <c r="B225" s="10">
        <v>1</v>
      </c>
      <c r="C225" s="10" t="s">
        <v>60</v>
      </c>
      <c r="D225" s="10" t="s">
        <v>23</v>
      </c>
      <c r="E225" s="10" t="s">
        <v>165</v>
      </c>
      <c r="F225" s="10">
        <v>552.04</v>
      </c>
      <c r="G225" s="10">
        <f t="shared" si="6"/>
        <v>552.04</v>
      </c>
      <c r="I225" s="2"/>
      <c r="J225" s="2"/>
      <c r="K225" s="2"/>
      <c r="L225" s="2"/>
    </row>
    <row r="226" spans="1:22" ht="13.2">
      <c r="A226" s="158">
        <v>45746</v>
      </c>
      <c r="B226" s="10">
        <v>1</v>
      </c>
      <c r="C226" s="10" t="s">
        <v>60</v>
      </c>
      <c r="D226" s="10" t="s">
        <v>23</v>
      </c>
      <c r="E226" s="10" t="s">
        <v>201</v>
      </c>
      <c r="F226" s="10">
        <v>855.6</v>
      </c>
      <c r="G226" s="10">
        <f t="shared" si="6"/>
        <v>855.6</v>
      </c>
      <c r="I226" s="2"/>
      <c r="J226" s="2"/>
      <c r="K226" s="2"/>
      <c r="L226" s="2"/>
    </row>
    <row r="227" spans="1:22" ht="13.2">
      <c r="A227" s="158">
        <v>45746</v>
      </c>
      <c r="B227" s="10">
        <v>1</v>
      </c>
      <c r="C227" s="10" t="s">
        <v>55</v>
      </c>
      <c r="D227" s="10" t="s">
        <v>31</v>
      </c>
      <c r="E227" s="10" t="s">
        <v>202</v>
      </c>
      <c r="F227" s="10">
        <v>1537.5</v>
      </c>
      <c r="G227" s="10">
        <f t="shared" si="6"/>
        <v>1537.5</v>
      </c>
      <c r="I227" s="2"/>
      <c r="J227" s="2"/>
      <c r="K227" s="2"/>
      <c r="L227" s="2"/>
    </row>
    <row r="228" spans="1:22" ht="13.2">
      <c r="A228" s="158">
        <v>45746</v>
      </c>
      <c r="B228" s="10">
        <v>1</v>
      </c>
      <c r="C228" s="10" t="s">
        <v>60</v>
      </c>
      <c r="D228" s="10" t="s">
        <v>23</v>
      </c>
      <c r="E228" s="10" t="s">
        <v>160</v>
      </c>
      <c r="F228" s="10">
        <v>489.67</v>
      </c>
      <c r="G228" s="10">
        <f t="shared" si="6"/>
        <v>489.67</v>
      </c>
      <c r="I228" s="2"/>
      <c r="J228" s="2"/>
      <c r="K228" s="2"/>
      <c r="L228" s="2"/>
    </row>
    <row r="229" spans="1:22" ht="13.2">
      <c r="A229" s="42">
        <v>45749</v>
      </c>
      <c r="B229" s="10">
        <v>1</v>
      </c>
      <c r="C229" s="10" t="s">
        <v>31</v>
      </c>
      <c r="D229" s="10" t="s">
        <v>31</v>
      </c>
      <c r="E229" s="10" t="s">
        <v>203</v>
      </c>
      <c r="F229" s="10">
        <v>11.8</v>
      </c>
      <c r="G229" s="10">
        <f t="shared" si="6"/>
        <v>11.8</v>
      </c>
      <c r="I229" s="2"/>
      <c r="J229" s="2"/>
      <c r="K229" s="2"/>
      <c r="L229" s="2"/>
    </row>
    <row r="230" spans="1:22" ht="13.2">
      <c r="A230" s="42">
        <v>45749</v>
      </c>
      <c r="B230" s="21">
        <v>1</v>
      </c>
      <c r="C230" s="10" t="s">
        <v>27</v>
      </c>
      <c r="D230" s="10" t="s">
        <v>27</v>
      </c>
      <c r="E230" s="10" t="s">
        <v>64</v>
      </c>
      <c r="F230" s="21">
        <v>145</v>
      </c>
      <c r="G230" s="10">
        <f t="shared" si="6"/>
        <v>145</v>
      </c>
      <c r="I230" s="2"/>
      <c r="J230" s="2"/>
      <c r="K230" s="2"/>
      <c r="L230" s="6"/>
    </row>
    <row r="231" spans="1:22" ht="13.2">
      <c r="A231" s="158">
        <v>45749</v>
      </c>
      <c r="B231" s="23">
        <v>1</v>
      </c>
      <c r="C231" s="10" t="s">
        <v>60</v>
      </c>
      <c r="D231" s="10" t="s">
        <v>23</v>
      </c>
      <c r="E231" s="23" t="s">
        <v>113</v>
      </c>
      <c r="F231" s="23">
        <v>60</v>
      </c>
      <c r="G231" s="23">
        <f t="shared" si="6"/>
        <v>60</v>
      </c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</row>
    <row r="232" spans="1:22" ht="13.2">
      <c r="A232" s="42">
        <v>45750</v>
      </c>
      <c r="B232" s="10">
        <v>1</v>
      </c>
      <c r="C232" s="10" t="s">
        <v>31</v>
      </c>
      <c r="D232" s="10" t="s">
        <v>31</v>
      </c>
      <c r="E232" s="21" t="s">
        <v>204</v>
      </c>
      <c r="F232" s="21">
        <v>120</v>
      </c>
      <c r="G232" s="10">
        <f t="shared" si="6"/>
        <v>120</v>
      </c>
      <c r="I232" s="2"/>
      <c r="J232" s="2"/>
      <c r="K232" s="2"/>
      <c r="L232" s="2"/>
    </row>
    <row r="233" spans="1:22" ht="13.2">
      <c r="A233" s="42">
        <v>45751</v>
      </c>
      <c r="B233" s="10">
        <v>1</v>
      </c>
      <c r="C233" s="10" t="s">
        <v>31</v>
      </c>
      <c r="D233" s="10" t="s">
        <v>23</v>
      </c>
      <c r="E233" s="10" t="s">
        <v>166</v>
      </c>
      <c r="F233" s="21">
        <v>22.1</v>
      </c>
      <c r="G233" s="10">
        <f t="shared" si="6"/>
        <v>22.1</v>
      </c>
      <c r="I233" s="2"/>
      <c r="J233" s="2"/>
      <c r="K233" s="2"/>
      <c r="L233" s="2"/>
    </row>
    <row r="234" spans="1:22" ht="13.2">
      <c r="A234" s="42">
        <v>45751</v>
      </c>
      <c r="B234" s="10">
        <v>4</v>
      </c>
      <c r="C234" s="10" t="s">
        <v>205</v>
      </c>
      <c r="D234" s="10" t="s">
        <v>23</v>
      </c>
      <c r="E234" s="21" t="s">
        <v>206</v>
      </c>
      <c r="F234" s="21">
        <v>7</v>
      </c>
      <c r="G234" s="10">
        <f t="shared" si="6"/>
        <v>28</v>
      </c>
      <c r="I234" s="2"/>
      <c r="J234" s="2"/>
      <c r="K234" s="2"/>
      <c r="L234" s="2"/>
    </row>
    <row r="235" spans="1:22" ht="13.2">
      <c r="A235" s="42">
        <v>45751</v>
      </c>
      <c r="B235" s="10">
        <v>4</v>
      </c>
      <c r="C235" s="10" t="s">
        <v>33</v>
      </c>
      <c r="D235" s="10" t="s">
        <v>23</v>
      </c>
      <c r="E235" s="21" t="s">
        <v>207</v>
      </c>
      <c r="F235" s="21">
        <v>10</v>
      </c>
      <c r="G235" s="10">
        <f t="shared" si="6"/>
        <v>40</v>
      </c>
      <c r="I235" s="2"/>
      <c r="J235" s="2"/>
      <c r="K235" s="2"/>
      <c r="L235" s="2"/>
    </row>
    <row r="236" spans="1:22" ht="13.2">
      <c r="A236" s="42">
        <v>45751</v>
      </c>
      <c r="B236" s="10">
        <v>3</v>
      </c>
      <c r="C236" s="10" t="s">
        <v>33</v>
      </c>
      <c r="D236" s="10" t="s">
        <v>23</v>
      </c>
      <c r="E236" s="21" t="s">
        <v>208</v>
      </c>
      <c r="F236" s="21">
        <v>12</v>
      </c>
      <c r="G236" s="10">
        <f t="shared" si="6"/>
        <v>36</v>
      </c>
      <c r="I236" s="2"/>
      <c r="J236" s="2"/>
      <c r="K236" s="2"/>
      <c r="L236" s="2"/>
    </row>
    <row r="237" spans="1:22" ht="13.2">
      <c r="A237" s="42">
        <v>45751</v>
      </c>
      <c r="B237" s="10">
        <v>1</v>
      </c>
      <c r="C237" s="10" t="s">
        <v>35</v>
      </c>
      <c r="D237" s="10" t="s">
        <v>23</v>
      </c>
      <c r="E237" s="21" t="s">
        <v>209</v>
      </c>
      <c r="F237" s="21">
        <v>13</v>
      </c>
      <c r="G237" s="10">
        <f t="shared" si="6"/>
        <v>13</v>
      </c>
      <c r="I237" s="2"/>
      <c r="J237" s="2"/>
      <c r="K237" s="2"/>
      <c r="L237" s="2"/>
    </row>
    <row r="238" spans="1:22" ht="13.2">
      <c r="A238" s="42">
        <v>45751</v>
      </c>
      <c r="B238" s="10">
        <v>2</v>
      </c>
      <c r="C238" s="10" t="s">
        <v>33</v>
      </c>
      <c r="D238" s="10" t="s">
        <v>23</v>
      </c>
      <c r="E238" s="21" t="s">
        <v>210</v>
      </c>
      <c r="F238" s="21">
        <v>45</v>
      </c>
      <c r="G238" s="10">
        <f t="shared" si="6"/>
        <v>90</v>
      </c>
      <c r="I238" s="2"/>
      <c r="J238" s="2"/>
      <c r="K238" s="2"/>
      <c r="L238" s="2"/>
    </row>
    <row r="239" spans="1:22" ht="13.2">
      <c r="A239" s="42">
        <v>45751</v>
      </c>
      <c r="B239" s="10">
        <v>3</v>
      </c>
      <c r="C239" s="10" t="s">
        <v>33</v>
      </c>
      <c r="D239" s="10" t="s">
        <v>23</v>
      </c>
      <c r="E239" s="21" t="s">
        <v>211</v>
      </c>
      <c r="F239" s="21">
        <v>52</v>
      </c>
      <c r="G239" s="10">
        <f t="shared" si="6"/>
        <v>156</v>
      </c>
      <c r="I239" s="2"/>
      <c r="J239" s="2"/>
      <c r="K239" s="2"/>
      <c r="L239" s="2"/>
    </row>
    <row r="240" spans="1:22" ht="13.2">
      <c r="A240" s="42">
        <v>45751</v>
      </c>
      <c r="B240" s="10">
        <v>2</v>
      </c>
      <c r="C240" s="10" t="s">
        <v>33</v>
      </c>
      <c r="D240" s="10" t="s">
        <v>23</v>
      </c>
      <c r="E240" s="21" t="s">
        <v>212</v>
      </c>
      <c r="F240" s="21">
        <v>13</v>
      </c>
      <c r="G240" s="10">
        <f t="shared" si="6"/>
        <v>26</v>
      </c>
      <c r="I240" s="2"/>
      <c r="J240" s="2"/>
      <c r="K240" s="2"/>
      <c r="L240" s="2"/>
    </row>
    <row r="241" spans="1:17" ht="13.2">
      <c r="A241" s="42">
        <v>45751</v>
      </c>
      <c r="B241" s="10">
        <v>7</v>
      </c>
      <c r="C241" s="10" t="s">
        <v>33</v>
      </c>
      <c r="D241" s="10" t="s">
        <v>23</v>
      </c>
      <c r="E241" s="21" t="s">
        <v>213</v>
      </c>
      <c r="F241" s="21">
        <v>7</v>
      </c>
      <c r="G241" s="10">
        <f t="shared" si="6"/>
        <v>49</v>
      </c>
      <c r="I241" s="2"/>
      <c r="J241" s="2"/>
      <c r="K241" s="2"/>
      <c r="L241" s="2"/>
    </row>
    <row r="242" spans="1:17" ht="13.2">
      <c r="A242" s="42">
        <v>45751</v>
      </c>
      <c r="B242" s="10">
        <v>1</v>
      </c>
      <c r="C242" s="10" t="s">
        <v>22</v>
      </c>
      <c r="D242" s="10" t="s">
        <v>23</v>
      </c>
      <c r="E242" s="21" t="s">
        <v>214</v>
      </c>
      <c r="F242" s="21">
        <v>13</v>
      </c>
      <c r="G242" s="10">
        <f t="shared" si="6"/>
        <v>13</v>
      </c>
      <c r="I242" s="2"/>
      <c r="J242" s="2"/>
      <c r="K242" s="2"/>
      <c r="L242" s="2"/>
    </row>
    <row r="243" spans="1:17" ht="13.2">
      <c r="A243" s="42">
        <v>45754</v>
      </c>
      <c r="B243" s="21">
        <v>1</v>
      </c>
      <c r="C243" s="10" t="s">
        <v>31</v>
      </c>
      <c r="D243" s="10" t="s">
        <v>23</v>
      </c>
      <c r="E243" s="21" t="s">
        <v>9</v>
      </c>
      <c r="F243" s="21">
        <v>34</v>
      </c>
      <c r="G243" s="10">
        <f t="shared" si="6"/>
        <v>34</v>
      </c>
      <c r="I243" s="2"/>
      <c r="J243" s="2"/>
      <c r="K243" s="2"/>
      <c r="L243" s="2"/>
    </row>
    <row r="244" spans="1:17" ht="13.2">
      <c r="A244" s="42">
        <v>45755</v>
      </c>
      <c r="B244" s="10">
        <v>1</v>
      </c>
      <c r="C244" s="10" t="s">
        <v>33</v>
      </c>
      <c r="D244" s="10" t="s">
        <v>23</v>
      </c>
      <c r="E244" s="21" t="s">
        <v>215</v>
      </c>
      <c r="F244" s="21">
        <v>304.10000000000002</v>
      </c>
      <c r="G244" s="10">
        <f t="shared" si="6"/>
        <v>304.10000000000002</v>
      </c>
      <c r="I244" s="2"/>
      <c r="J244" s="2"/>
      <c r="K244" s="2"/>
      <c r="L244" s="2"/>
    </row>
    <row r="245" spans="1:17" ht="13.2">
      <c r="A245" s="42">
        <v>45755</v>
      </c>
      <c r="B245" s="10">
        <v>6</v>
      </c>
      <c r="C245" s="10" t="s">
        <v>33</v>
      </c>
      <c r="D245" s="10" t="s">
        <v>23</v>
      </c>
      <c r="E245" s="21" t="s">
        <v>216</v>
      </c>
      <c r="F245" s="21">
        <v>4.91</v>
      </c>
      <c r="G245" s="10">
        <f t="shared" si="6"/>
        <v>29.46</v>
      </c>
      <c r="H245" s="2"/>
      <c r="I245" s="2"/>
      <c r="J245" s="2"/>
      <c r="K245" s="2"/>
      <c r="L245" s="2"/>
    </row>
    <row r="246" spans="1:17" ht="13.2">
      <c r="A246" s="42">
        <v>45755</v>
      </c>
      <c r="B246" s="10">
        <v>10</v>
      </c>
      <c r="C246" s="10" t="s">
        <v>33</v>
      </c>
      <c r="D246" s="10" t="s">
        <v>23</v>
      </c>
      <c r="E246" s="21" t="s">
        <v>217</v>
      </c>
      <c r="F246" s="21">
        <v>30</v>
      </c>
      <c r="G246" s="10">
        <f t="shared" si="6"/>
        <v>300</v>
      </c>
      <c r="H246" s="2"/>
      <c r="I246" s="2"/>
      <c r="J246" s="2"/>
      <c r="K246" s="2"/>
      <c r="L246" s="2"/>
      <c r="M246" s="2"/>
      <c r="N246" s="2"/>
      <c r="O246" s="2"/>
      <c r="P246" s="2"/>
      <c r="Q246" s="2"/>
    </row>
    <row r="247" spans="1:17" ht="13.2">
      <c r="A247" s="42">
        <v>45755</v>
      </c>
      <c r="B247" s="10">
        <v>10</v>
      </c>
      <c r="C247" s="10" t="s">
        <v>33</v>
      </c>
      <c r="D247" s="10" t="s">
        <v>23</v>
      </c>
      <c r="E247" s="21" t="s">
        <v>218</v>
      </c>
      <c r="F247" s="21">
        <v>4</v>
      </c>
      <c r="G247" s="10">
        <f t="shared" si="6"/>
        <v>40</v>
      </c>
      <c r="I247" s="2"/>
      <c r="J247" s="2"/>
      <c r="K247" s="2"/>
      <c r="L247" s="2"/>
      <c r="M247" s="2"/>
      <c r="N247" s="2"/>
      <c r="O247" s="2"/>
      <c r="P247" s="2"/>
      <c r="Q247" s="2"/>
    </row>
    <row r="248" spans="1:17" ht="13.2">
      <c r="A248" s="42">
        <v>45755</v>
      </c>
      <c r="B248" s="10">
        <v>1</v>
      </c>
      <c r="C248" s="10" t="s">
        <v>33</v>
      </c>
      <c r="D248" s="10" t="s">
        <v>23</v>
      </c>
      <c r="E248" s="21" t="s">
        <v>219</v>
      </c>
      <c r="F248" s="21">
        <v>25</v>
      </c>
      <c r="G248" s="10">
        <f t="shared" si="6"/>
        <v>25</v>
      </c>
      <c r="I248" s="2"/>
      <c r="J248" s="2"/>
      <c r="K248" s="2"/>
      <c r="L248" s="2"/>
      <c r="M248" s="2"/>
      <c r="N248" s="2"/>
      <c r="O248" s="2"/>
      <c r="P248" s="2"/>
      <c r="Q248" s="2"/>
    </row>
    <row r="249" spans="1:17" ht="13.2">
      <c r="A249" s="42">
        <v>45755</v>
      </c>
      <c r="B249" s="10">
        <v>1</v>
      </c>
      <c r="C249" s="10" t="s">
        <v>40</v>
      </c>
      <c r="D249" s="10" t="s">
        <v>40</v>
      </c>
      <c r="E249" s="21" t="s">
        <v>220</v>
      </c>
      <c r="F249" s="21">
        <v>550</v>
      </c>
      <c r="G249" s="10">
        <f t="shared" si="6"/>
        <v>550</v>
      </c>
      <c r="I249" s="2"/>
      <c r="J249" s="2"/>
      <c r="K249" s="2"/>
      <c r="L249" s="2"/>
      <c r="M249" s="2"/>
      <c r="N249" s="2"/>
      <c r="O249" s="2"/>
      <c r="P249" s="2"/>
      <c r="Q249" s="2"/>
    </row>
    <row r="250" spans="1:17" ht="13.2">
      <c r="A250" s="42">
        <v>45755</v>
      </c>
      <c r="B250" s="10">
        <v>1</v>
      </c>
      <c r="C250" s="10" t="s">
        <v>40</v>
      </c>
      <c r="D250" s="10" t="s">
        <v>40</v>
      </c>
      <c r="E250" s="21" t="s">
        <v>173</v>
      </c>
      <c r="F250" s="21">
        <v>1282.5</v>
      </c>
      <c r="G250" s="10">
        <f t="shared" si="6"/>
        <v>1282.5</v>
      </c>
      <c r="I250" s="2"/>
      <c r="J250" s="2"/>
      <c r="K250" s="2"/>
      <c r="L250" s="2"/>
      <c r="M250" s="2"/>
      <c r="N250" s="2"/>
      <c r="O250" s="2"/>
      <c r="P250" s="2"/>
      <c r="Q250" s="2"/>
    </row>
    <row r="251" spans="1:17" ht="13.2">
      <c r="A251" s="42">
        <v>45755</v>
      </c>
      <c r="B251" s="10">
        <v>1</v>
      </c>
      <c r="C251" s="10" t="s">
        <v>40</v>
      </c>
      <c r="D251" s="10" t="s">
        <v>40</v>
      </c>
      <c r="E251" s="21" t="s">
        <v>181</v>
      </c>
      <c r="F251" s="21">
        <v>90</v>
      </c>
      <c r="G251" s="10">
        <f t="shared" si="6"/>
        <v>90</v>
      </c>
      <c r="I251" s="2"/>
      <c r="J251" s="2"/>
      <c r="K251" s="2"/>
      <c r="L251" s="2"/>
      <c r="M251" s="2"/>
      <c r="N251" s="2"/>
      <c r="O251" s="2"/>
      <c r="P251" s="2"/>
      <c r="Q251" s="2"/>
    </row>
    <row r="252" spans="1:17" ht="13.2">
      <c r="A252" s="42">
        <v>45755</v>
      </c>
      <c r="B252" s="10">
        <v>1</v>
      </c>
      <c r="C252" s="10" t="s">
        <v>40</v>
      </c>
      <c r="D252" s="10" t="s">
        <v>40</v>
      </c>
      <c r="E252" s="21" t="s">
        <v>221</v>
      </c>
      <c r="F252" s="21">
        <v>137.5</v>
      </c>
      <c r="G252" s="10">
        <f t="shared" si="6"/>
        <v>137.5</v>
      </c>
      <c r="I252" s="2"/>
      <c r="J252" s="2"/>
      <c r="K252" s="2"/>
      <c r="L252" s="2"/>
      <c r="M252" s="2"/>
      <c r="N252" s="2"/>
      <c r="O252" s="2"/>
      <c r="P252" s="2"/>
      <c r="Q252" s="2"/>
    </row>
    <row r="253" spans="1:17" ht="13.2">
      <c r="A253" s="42">
        <v>45755</v>
      </c>
      <c r="B253" s="10">
        <v>1</v>
      </c>
      <c r="C253" s="10" t="s">
        <v>33</v>
      </c>
      <c r="D253" s="10" t="s">
        <v>23</v>
      </c>
      <c r="E253" s="21" t="s">
        <v>222</v>
      </c>
      <c r="F253" s="21">
        <v>304.10000000000002</v>
      </c>
      <c r="G253" s="10">
        <f t="shared" si="6"/>
        <v>304.10000000000002</v>
      </c>
      <c r="I253" s="2"/>
      <c r="J253" s="2"/>
      <c r="K253" s="2"/>
      <c r="L253" s="2"/>
      <c r="M253" s="2"/>
      <c r="N253" s="2"/>
      <c r="O253" s="2"/>
      <c r="P253" s="2"/>
      <c r="Q253" s="2"/>
    </row>
    <row r="254" spans="1:17" ht="13.2">
      <c r="A254" s="42">
        <v>45755</v>
      </c>
      <c r="B254" s="10">
        <v>1</v>
      </c>
      <c r="C254" s="10" t="s">
        <v>33</v>
      </c>
      <c r="D254" s="10" t="s">
        <v>23</v>
      </c>
      <c r="E254" s="21" t="s">
        <v>223</v>
      </c>
      <c r="F254" s="21">
        <v>29.5</v>
      </c>
      <c r="G254" s="10">
        <f t="shared" si="6"/>
        <v>29.5</v>
      </c>
      <c r="I254" s="2"/>
      <c r="J254" s="2"/>
      <c r="K254" s="2"/>
      <c r="L254" s="2"/>
      <c r="M254" s="2"/>
      <c r="N254" s="2"/>
      <c r="O254" s="2"/>
      <c r="P254" s="2"/>
      <c r="Q254" s="2"/>
    </row>
    <row r="255" spans="1:17" ht="13.2">
      <c r="A255" s="42">
        <v>45755</v>
      </c>
      <c r="B255" s="10">
        <v>1</v>
      </c>
      <c r="C255" s="10" t="s">
        <v>79</v>
      </c>
      <c r="D255" s="10" t="s">
        <v>31</v>
      </c>
      <c r="E255" s="21" t="s">
        <v>200</v>
      </c>
      <c r="F255" s="21">
        <v>143.53</v>
      </c>
      <c r="G255" s="10">
        <f t="shared" si="6"/>
        <v>143.53</v>
      </c>
      <c r="I255" s="2"/>
      <c r="J255" s="2"/>
      <c r="K255" s="2"/>
      <c r="L255" s="2"/>
      <c r="M255" s="2"/>
      <c r="N255" s="2"/>
      <c r="O255" s="2"/>
      <c r="P255" s="2"/>
      <c r="Q255" s="2"/>
    </row>
    <row r="256" spans="1:17" ht="13.2">
      <c r="A256" s="42">
        <v>45755</v>
      </c>
      <c r="B256" s="19">
        <v>1</v>
      </c>
      <c r="C256" s="10" t="s">
        <v>31</v>
      </c>
      <c r="D256" s="10" t="s">
        <v>31</v>
      </c>
      <c r="E256" s="21" t="s">
        <v>224</v>
      </c>
      <c r="F256" s="21">
        <v>19</v>
      </c>
      <c r="G256" s="10">
        <f t="shared" si="6"/>
        <v>19</v>
      </c>
      <c r="I256" s="2"/>
      <c r="J256" s="2"/>
      <c r="K256" s="2"/>
      <c r="L256" s="2"/>
      <c r="M256" s="2"/>
      <c r="N256" s="2"/>
      <c r="O256" s="2"/>
      <c r="P256" s="2"/>
      <c r="Q256" s="2"/>
    </row>
    <row r="257" spans="1:17" ht="13.2">
      <c r="A257" s="42">
        <v>45756</v>
      </c>
      <c r="B257" s="10">
        <v>1</v>
      </c>
      <c r="C257" s="10" t="s">
        <v>60</v>
      </c>
      <c r="D257" s="10" t="s">
        <v>23</v>
      </c>
      <c r="E257" s="21" t="s">
        <v>225</v>
      </c>
      <c r="F257" s="21">
        <v>80</v>
      </c>
      <c r="G257" s="10">
        <f t="shared" si="6"/>
        <v>80</v>
      </c>
      <c r="I257" s="2"/>
      <c r="J257" s="2"/>
      <c r="K257" s="2"/>
      <c r="L257" s="2"/>
      <c r="M257" s="2"/>
      <c r="N257" s="2"/>
      <c r="O257" s="2"/>
      <c r="P257" s="2"/>
      <c r="Q257" s="2"/>
    </row>
    <row r="258" spans="1:17" ht="13.2">
      <c r="A258" s="42">
        <v>45756</v>
      </c>
      <c r="B258" s="10">
        <v>1</v>
      </c>
      <c r="C258" s="10" t="s">
        <v>60</v>
      </c>
      <c r="D258" s="10" t="s">
        <v>23</v>
      </c>
      <c r="E258" s="21" t="s">
        <v>226</v>
      </c>
      <c r="F258" s="21">
        <v>10</v>
      </c>
      <c r="G258" s="10">
        <f t="shared" si="6"/>
        <v>10</v>
      </c>
      <c r="I258" s="2"/>
      <c r="J258" s="2"/>
      <c r="K258" s="2"/>
      <c r="L258" s="2"/>
      <c r="M258" s="2"/>
      <c r="N258" s="2"/>
      <c r="O258" s="2"/>
      <c r="P258" s="2"/>
      <c r="Q258" s="2"/>
    </row>
    <row r="259" spans="1:17" ht="13.2">
      <c r="A259" s="42">
        <v>45756</v>
      </c>
      <c r="B259" s="10">
        <v>1</v>
      </c>
      <c r="C259" s="10" t="s">
        <v>31</v>
      </c>
      <c r="D259" s="10" t="s">
        <v>31</v>
      </c>
      <c r="E259" s="21" t="s">
        <v>227</v>
      </c>
      <c r="F259" s="21">
        <v>165</v>
      </c>
      <c r="G259" s="10">
        <f t="shared" si="6"/>
        <v>165</v>
      </c>
      <c r="I259" s="2"/>
      <c r="J259" s="2"/>
      <c r="K259" s="2"/>
      <c r="L259" s="2"/>
      <c r="M259" s="2"/>
      <c r="N259" s="2"/>
      <c r="O259" s="2"/>
      <c r="P259" s="2"/>
      <c r="Q259" s="2"/>
    </row>
    <row r="260" spans="1:17" ht="13.2">
      <c r="A260" s="42">
        <v>45756</v>
      </c>
      <c r="B260" s="10">
        <v>1</v>
      </c>
      <c r="C260" s="10" t="s">
        <v>31</v>
      </c>
      <c r="D260" s="10" t="s">
        <v>31</v>
      </c>
      <c r="E260" s="21" t="s">
        <v>13</v>
      </c>
      <c r="F260" s="21">
        <v>9.5</v>
      </c>
      <c r="G260" s="10">
        <f t="shared" si="6"/>
        <v>9.5</v>
      </c>
      <c r="I260" s="2"/>
      <c r="J260" s="2"/>
      <c r="K260" s="2"/>
      <c r="L260" s="2"/>
      <c r="M260" s="2"/>
      <c r="N260" s="2"/>
      <c r="O260" s="2"/>
      <c r="P260" s="2"/>
      <c r="Q260" s="2"/>
    </row>
    <row r="261" spans="1:17" ht="13.2">
      <c r="A261" s="42">
        <v>45756</v>
      </c>
      <c r="B261" s="10">
        <v>1</v>
      </c>
      <c r="C261" s="10" t="s">
        <v>60</v>
      </c>
      <c r="D261" s="10" t="s">
        <v>23</v>
      </c>
      <c r="E261" s="21" t="s">
        <v>225</v>
      </c>
      <c r="F261" s="21">
        <v>70</v>
      </c>
      <c r="G261" s="10">
        <f t="shared" si="6"/>
        <v>70</v>
      </c>
      <c r="I261" s="2"/>
      <c r="J261" s="2"/>
      <c r="K261" s="2"/>
      <c r="L261" s="2"/>
      <c r="M261" s="2"/>
      <c r="N261" s="2"/>
      <c r="O261" s="2"/>
      <c r="P261" s="2"/>
      <c r="Q261" s="2"/>
    </row>
    <row r="262" spans="1:17" ht="13.2">
      <c r="A262" s="42">
        <v>45757</v>
      </c>
      <c r="B262" s="19">
        <v>1</v>
      </c>
      <c r="C262" s="10" t="s">
        <v>27</v>
      </c>
      <c r="D262" s="10" t="s">
        <v>27</v>
      </c>
      <c r="E262" s="10" t="s">
        <v>64</v>
      </c>
      <c r="F262" s="19">
        <v>195</v>
      </c>
      <c r="G262" s="10">
        <f t="shared" si="6"/>
        <v>195</v>
      </c>
      <c r="I262" s="2"/>
      <c r="J262" s="2"/>
      <c r="K262" s="2"/>
      <c r="L262" s="2"/>
      <c r="M262" s="2"/>
      <c r="N262" s="2"/>
      <c r="O262" s="2"/>
      <c r="P262" s="2"/>
      <c r="Q262" s="2"/>
    </row>
    <row r="263" spans="1:17" ht="13.2">
      <c r="A263" s="42">
        <v>45757</v>
      </c>
      <c r="B263" s="10">
        <v>4</v>
      </c>
      <c r="C263" s="10" t="s">
        <v>33</v>
      </c>
      <c r="D263" s="10" t="s">
        <v>23</v>
      </c>
      <c r="E263" s="21" t="s">
        <v>228</v>
      </c>
      <c r="F263" s="21">
        <v>30</v>
      </c>
      <c r="G263" s="10">
        <f t="shared" si="6"/>
        <v>120</v>
      </c>
      <c r="I263" s="2"/>
      <c r="J263" s="2"/>
      <c r="K263" s="2"/>
      <c r="L263" s="2"/>
      <c r="M263" s="2"/>
      <c r="N263" s="2"/>
      <c r="O263" s="2"/>
      <c r="P263" s="2"/>
      <c r="Q263" s="2"/>
    </row>
    <row r="264" spans="1:17" ht="13.2">
      <c r="A264" s="42">
        <v>45757</v>
      </c>
      <c r="B264" s="10">
        <v>20</v>
      </c>
      <c r="C264" s="10" t="s">
        <v>33</v>
      </c>
      <c r="D264" s="10" t="s">
        <v>23</v>
      </c>
      <c r="E264" s="21" t="s">
        <v>229</v>
      </c>
      <c r="F264" s="21">
        <v>4</v>
      </c>
      <c r="G264" s="10">
        <f t="shared" si="6"/>
        <v>80</v>
      </c>
      <c r="I264" s="2"/>
      <c r="J264" s="2"/>
      <c r="K264" s="2"/>
      <c r="L264" s="2"/>
      <c r="M264" s="2"/>
      <c r="N264" s="2"/>
      <c r="O264" s="2"/>
      <c r="P264" s="2"/>
      <c r="Q264" s="2"/>
    </row>
    <row r="265" spans="1:17" ht="13.2">
      <c r="A265" s="42">
        <v>45758</v>
      </c>
      <c r="B265" s="10">
        <v>2</v>
      </c>
      <c r="C265" s="10" t="s">
        <v>25</v>
      </c>
      <c r="D265" s="10" t="s">
        <v>25</v>
      </c>
      <c r="E265" s="39" t="s">
        <v>230</v>
      </c>
      <c r="F265" s="21">
        <v>1175</v>
      </c>
      <c r="G265" s="10">
        <f t="shared" si="6"/>
        <v>2350</v>
      </c>
      <c r="I265" s="2"/>
      <c r="J265" s="2"/>
      <c r="K265" s="2"/>
      <c r="L265" s="2"/>
      <c r="M265" s="2"/>
      <c r="N265" s="2"/>
      <c r="O265" s="2"/>
      <c r="P265" s="2"/>
      <c r="Q265" s="2"/>
    </row>
    <row r="266" spans="1:17" ht="13.2">
      <c r="A266" s="42">
        <v>45758</v>
      </c>
      <c r="B266" s="10">
        <v>2</v>
      </c>
      <c r="C266" s="10" t="s">
        <v>25</v>
      </c>
      <c r="D266" s="10" t="s">
        <v>25</v>
      </c>
      <c r="E266" s="39" t="s">
        <v>231</v>
      </c>
      <c r="F266" s="21">
        <v>100</v>
      </c>
      <c r="G266" s="10">
        <f t="shared" si="6"/>
        <v>200</v>
      </c>
      <c r="I266" s="2"/>
      <c r="J266" s="2"/>
      <c r="K266" s="2"/>
      <c r="L266" s="2"/>
      <c r="M266" s="2"/>
      <c r="N266" s="2"/>
      <c r="O266" s="2"/>
      <c r="P266" s="2"/>
      <c r="Q266" s="2"/>
    </row>
    <row r="267" spans="1:17" ht="13.2">
      <c r="A267" s="42">
        <v>45758</v>
      </c>
      <c r="B267" s="21">
        <v>1</v>
      </c>
      <c r="C267" s="10" t="s">
        <v>31</v>
      </c>
      <c r="D267" s="10" t="s">
        <v>31</v>
      </c>
      <c r="E267" s="21" t="s">
        <v>232</v>
      </c>
      <c r="F267" s="21">
        <v>22.5</v>
      </c>
      <c r="G267" s="10">
        <f t="shared" si="6"/>
        <v>22.5</v>
      </c>
      <c r="I267" s="2"/>
      <c r="J267" s="2"/>
      <c r="K267" s="2"/>
      <c r="L267" s="2"/>
      <c r="M267" s="2"/>
      <c r="N267" s="2"/>
      <c r="O267" s="2"/>
      <c r="P267" s="2"/>
      <c r="Q267" s="2"/>
    </row>
    <row r="268" spans="1:17" ht="13.2">
      <c r="A268" s="42">
        <v>45758</v>
      </c>
      <c r="B268" s="21">
        <v>11</v>
      </c>
      <c r="C268" s="10" t="s">
        <v>33</v>
      </c>
      <c r="D268" s="10" t="s">
        <v>23</v>
      </c>
      <c r="E268" s="21" t="s">
        <v>233</v>
      </c>
      <c r="F268" s="21">
        <v>30.34</v>
      </c>
      <c r="G268" s="10">
        <f t="shared" si="6"/>
        <v>333.74</v>
      </c>
      <c r="I268" s="2"/>
      <c r="J268" s="2"/>
      <c r="K268" s="2"/>
      <c r="L268" s="2"/>
      <c r="M268" s="2"/>
      <c r="N268" s="2"/>
      <c r="O268" s="2"/>
      <c r="P268" s="2"/>
      <c r="Q268" s="2"/>
    </row>
    <row r="269" spans="1:17" ht="13.2">
      <c r="A269" s="42">
        <v>45759</v>
      </c>
      <c r="B269" s="10">
        <v>1</v>
      </c>
      <c r="C269" s="10" t="s">
        <v>60</v>
      </c>
      <c r="D269" s="10" t="s">
        <v>23</v>
      </c>
      <c r="E269" s="10" t="s">
        <v>113</v>
      </c>
      <c r="F269" s="21">
        <v>60</v>
      </c>
      <c r="G269" s="10">
        <f t="shared" si="6"/>
        <v>60</v>
      </c>
      <c r="I269" s="2"/>
      <c r="J269" s="2"/>
      <c r="K269" s="2"/>
      <c r="L269" s="2"/>
      <c r="M269" s="2"/>
      <c r="N269" s="2"/>
      <c r="O269" s="2"/>
      <c r="P269" s="2"/>
      <c r="Q269" s="2"/>
    </row>
    <row r="270" spans="1:17" ht="13.2">
      <c r="A270" s="42">
        <v>45759</v>
      </c>
      <c r="B270" s="21">
        <v>1</v>
      </c>
      <c r="C270" s="10" t="s">
        <v>31</v>
      </c>
      <c r="D270" s="10" t="s">
        <v>31</v>
      </c>
      <c r="E270" s="21" t="s">
        <v>2</v>
      </c>
      <c r="F270" s="21">
        <v>20.43</v>
      </c>
      <c r="G270" s="10">
        <f t="shared" si="6"/>
        <v>20.43</v>
      </c>
      <c r="I270" s="2"/>
      <c r="J270" s="2"/>
      <c r="K270" s="2"/>
      <c r="L270" s="2"/>
      <c r="M270" s="2"/>
      <c r="N270" s="2"/>
      <c r="O270" s="2"/>
      <c r="P270" s="2"/>
      <c r="Q270" s="2"/>
    </row>
    <row r="271" spans="1:17" ht="13.2">
      <c r="A271" s="42">
        <v>45761</v>
      </c>
      <c r="B271" s="10">
        <v>2</v>
      </c>
      <c r="C271" s="10" t="s">
        <v>40</v>
      </c>
      <c r="D271" s="10" t="s">
        <v>40</v>
      </c>
      <c r="E271" s="21" t="s">
        <v>220</v>
      </c>
      <c r="F271" s="21">
        <v>100</v>
      </c>
      <c r="G271" s="10">
        <f t="shared" si="6"/>
        <v>200</v>
      </c>
      <c r="I271" s="2"/>
      <c r="J271" s="2"/>
      <c r="K271" s="2"/>
      <c r="L271" s="2"/>
      <c r="M271" s="2"/>
      <c r="N271" s="2"/>
      <c r="O271" s="2"/>
      <c r="P271" s="2"/>
      <c r="Q271" s="2"/>
    </row>
    <row r="272" spans="1:17" ht="13.2">
      <c r="A272" s="42">
        <v>45761</v>
      </c>
      <c r="B272" s="21">
        <v>1</v>
      </c>
      <c r="C272" s="10" t="s">
        <v>33</v>
      </c>
      <c r="D272" s="10" t="s">
        <v>23</v>
      </c>
      <c r="E272" s="21" t="s">
        <v>234</v>
      </c>
      <c r="F272" s="21">
        <v>20.9</v>
      </c>
      <c r="G272" s="10">
        <f t="shared" si="6"/>
        <v>20.9</v>
      </c>
      <c r="I272" s="2"/>
      <c r="J272" s="2"/>
      <c r="K272" s="2"/>
      <c r="L272" s="2"/>
      <c r="M272" s="2"/>
      <c r="N272" s="2"/>
      <c r="O272" s="2"/>
      <c r="P272" s="2"/>
      <c r="Q272" s="2"/>
    </row>
    <row r="273" spans="1:17" ht="13.2">
      <c r="A273" s="42">
        <v>45761</v>
      </c>
      <c r="B273" s="10">
        <v>8</v>
      </c>
      <c r="C273" s="10" t="s">
        <v>31</v>
      </c>
      <c r="D273" s="10" t="s">
        <v>31</v>
      </c>
      <c r="E273" s="21" t="s">
        <v>235</v>
      </c>
      <c r="F273" s="21">
        <v>9</v>
      </c>
      <c r="G273" s="10">
        <f t="shared" si="6"/>
        <v>72</v>
      </c>
      <c r="I273" s="2"/>
      <c r="J273" s="2"/>
      <c r="K273" s="2"/>
      <c r="L273" s="2"/>
      <c r="M273" s="2"/>
      <c r="N273" s="2"/>
      <c r="O273" s="2"/>
      <c r="P273" s="2"/>
      <c r="Q273" s="2"/>
    </row>
    <row r="274" spans="1:17" ht="13.2">
      <c r="A274" s="42">
        <v>45762</v>
      </c>
      <c r="B274" s="21">
        <v>1</v>
      </c>
      <c r="C274" s="10" t="s">
        <v>60</v>
      </c>
      <c r="D274" s="10" t="s">
        <v>23</v>
      </c>
      <c r="E274" s="10" t="s">
        <v>160</v>
      </c>
      <c r="F274" s="21">
        <v>565</v>
      </c>
      <c r="G274" s="10">
        <f t="shared" si="6"/>
        <v>565</v>
      </c>
      <c r="I274" s="2"/>
      <c r="J274" s="2"/>
      <c r="K274" s="2"/>
      <c r="L274" s="2"/>
      <c r="M274" s="2"/>
      <c r="N274" s="2"/>
      <c r="O274" s="2"/>
      <c r="P274" s="2"/>
      <c r="Q274" s="2"/>
    </row>
    <row r="275" spans="1:17" ht="13.2">
      <c r="A275" s="42">
        <v>45762</v>
      </c>
      <c r="B275" s="21">
        <v>1</v>
      </c>
      <c r="C275" s="10" t="s">
        <v>60</v>
      </c>
      <c r="D275" s="10" t="s">
        <v>23</v>
      </c>
      <c r="E275" s="10" t="s">
        <v>165</v>
      </c>
      <c r="F275" s="21">
        <v>775</v>
      </c>
      <c r="G275" s="10">
        <f t="shared" si="6"/>
        <v>775</v>
      </c>
      <c r="I275" s="2"/>
      <c r="J275" s="2"/>
      <c r="K275" s="2"/>
      <c r="L275" s="2"/>
      <c r="M275" s="2"/>
      <c r="N275" s="2"/>
      <c r="O275" s="2"/>
      <c r="P275" s="2"/>
      <c r="Q275" s="2"/>
    </row>
    <row r="276" spans="1:17" ht="13.2">
      <c r="A276" s="42">
        <v>45762</v>
      </c>
      <c r="B276" s="21">
        <v>1</v>
      </c>
      <c r="C276" s="10" t="s">
        <v>60</v>
      </c>
      <c r="D276" s="10" t="s">
        <v>23</v>
      </c>
      <c r="E276" s="10" t="s">
        <v>201</v>
      </c>
      <c r="F276" s="21">
        <v>900</v>
      </c>
      <c r="G276" s="10">
        <f t="shared" si="6"/>
        <v>900</v>
      </c>
      <c r="I276" s="2"/>
      <c r="J276" s="2"/>
      <c r="K276" s="2"/>
      <c r="L276" s="2"/>
      <c r="M276" s="2"/>
      <c r="N276" s="2"/>
      <c r="O276" s="2"/>
      <c r="P276" s="2"/>
      <c r="Q276" s="2"/>
    </row>
    <row r="277" spans="1:17" ht="13.2">
      <c r="A277" s="42">
        <v>45763</v>
      </c>
      <c r="B277" s="10">
        <v>4</v>
      </c>
      <c r="C277" s="10" t="s">
        <v>35</v>
      </c>
      <c r="D277" s="10" t="s">
        <v>23</v>
      </c>
      <c r="E277" s="21" t="s">
        <v>236</v>
      </c>
      <c r="F277" s="21">
        <v>10</v>
      </c>
      <c r="G277" s="10">
        <f t="shared" si="6"/>
        <v>40</v>
      </c>
      <c r="H277" s="2"/>
      <c r="I277" s="2"/>
      <c r="J277" s="2"/>
      <c r="K277" s="2"/>
      <c r="L277" s="2"/>
      <c r="M277" s="2"/>
      <c r="N277" s="2"/>
      <c r="O277" s="2"/>
      <c r="P277" s="2"/>
      <c r="Q277" s="2"/>
    </row>
    <row r="278" spans="1:17" ht="13.2">
      <c r="A278" s="42">
        <v>45763</v>
      </c>
      <c r="B278" s="10">
        <v>4</v>
      </c>
      <c r="C278" s="10" t="s">
        <v>35</v>
      </c>
      <c r="D278" s="10" t="s">
        <v>23</v>
      </c>
      <c r="E278" s="21" t="s">
        <v>237</v>
      </c>
      <c r="F278" s="21">
        <v>52</v>
      </c>
      <c r="G278" s="10">
        <f t="shared" si="6"/>
        <v>208</v>
      </c>
      <c r="I278" s="2"/>
      <c r="J278" s="2"/>
      <c r="K278" s="2"/>
      <c r="L278" s="2"/>
      <c r="M278" s="2"/>
      <c r="N278" s="2"/>
      <c r="O278" s="2"/>
      <c r="P278" s="2"/>
      <c r="Q278" s="2"/>
    </row>
    <row r="279" spans="1:17" ht="13.2">
      <c r="A279" s="42">
        <v>45763</v>
      </c>
      <c r="B279" s="10">
        <v>10</v>
      </c>
      <c r="C279" s="10" t="s">
        <v>22</v>
      </c>
      <c r="D279" s="10" t="s">
        <v>23</v>
      </c>
      <c r="E279" s="21" t="s">
        <v>238</v>
      </c>
      <c r="F279" s="21">
        <v>7</v>
      </c>
      <c r="G279" s="10">
        <f t="shared" si="6"/>
        <v>70</v>
      </c>
      <c r="I279" s="2"/>
      <c r="J279" s="2"/>
      <c r="K279" s="2"/>
      <c r="L279" s="2"/>
      <c r="M279" s="2"/>
      <c r="N279" s="2"/>
      <c r="O279" s="2"/>
      <c r="P279" s="2"/>
      <c r="Q279" s="2"/>
    </row>
    <row r="280" spans="1:17" ht="13.2">
      <c r="A280" s="42">
        <v>45763</v>
      </c>
      <c r="B280" s="10">
        <v>4</v>
      </c>
      <c r="C280" s="10" t="s">
        <v>205</v>
      </c>
      <c r="D280" s="10" t="s">
        <v>23</v>
      </c>
      <c r="E280" s="21" t="s">
        <v>206</v>
      </c>
      <c r="F280" s="21">
        <v>7</v>
      </c>
      <c r="G280" s="10">
        <f t="shared" si="6"/>
        <v>28</v>
      </c>
      <c r="I280" s="2"/>
      <c r="J280" s="2"/>
      <c r="K280" s="2"/>
      <c r="L280" s="2"/>
      <c r="M280" s="2"/>
      <c r="N280" s="2"/>
      <c r="O280" s="2"/>
      <c r="P280" s="2"/>
      <c r="Q280" s="2"/>
    </row>
    <row r="281" spans="1:17" ht="13.2">
      <c r="A281" s="42">
        <v>45763</v>
      </c>
      <c r="B281" s="10">
        <v>1</v>
      </c>
      <c r="C281" s="10" t="s">
        <v>33</v>
      </c>
      <c r="D281" s="10" t="s">
        <v>23</v>
      </c>
      <c r="E281" s="21" t="s">
        <v>239</v>
      </c>
      <c r="F281" s="21">
        <v>22</v>
      </c>
      <c r="G281" s="10">
        <f t="shared" si="6"/>
        <v>22</v>
      </c>
      <c r="I281" s="2"/>
      <c r="J281" s="2"/>
      <c r="K281" s="2"/>
      <c r="L281" s="2"/>
      <c r="M281" s="2"/>
      <c r="N281" s="2"/>
      <c r="O281" s="2"/>
      <c r="P281" s="2"/>
      <c r="Q281" s="2"/>
    </row>
    <row r="282" spans="1:17" ht="13.2">
      <c r="A282" s="42">
        <v>45763</v>
      </c>
      <c r="B282" s="10">
        <v>1</v>
      </c>
      <c r="C282" s="10" t="s">
        <v>22</v>
      </c>
      <c r="D282" s="10" t="s">
        <v>23</v>
      </c>
      <c r="E282" s="21" t="s">
        <v>240</v>
      </c>
      <c r="F282" s="21">
        <v>7</v>
      </c>
      <c r="G282" s="10">
        <f t="shared" si="6"/>
        <v>7</v>
      </c>
      <c r="I282" s="2"/>
      <c r="J282" s="2"/>
      <c r="K282" s="2"/>
      <c r="L282" s="2"/>
      <c r="M282" s="2"/>
      <c r="N282" s="2"/>
      <c r="O282" s="2"/>
      <c r="P282" s="2"/>
      <c r="Q282" s="2"/>
    </row>
    <row r="283" spans="1:17" ht="13.2">
      <c r="A283" s="42">
        <v>45763</v>
      </c>
      <c r="B283" s="10">
        <v>1</v>
      </c>
      <c r="C283" s="10" t="s">
        <v>22</v>
      </c>
      <c r="D283" s="10" t="s">
        <v>23</v>
      </c>
      <c r="E283" s="19" t="s">
        <v>241</v>
      </c>
      <c r="F283" s="21">
        <v>13</v>
      </c>
      <c r="G283" s="10">
        <f t="shared" si="6"/>
        <v>13</v>
      </c>
      <c r="I283" s="2"/>
      <c r="J283" s="2"/>
      <c r="K283" s="2"/>
      <c r="L283" s="2"/>
      <c r="M283" s="2"/>
      <c r="N283" s="2"/>
      <c r="O283" s="2"/>
      <c r="P283" s="2"/>
      <c r="Q283" s="2"/>
    </row>
    <row r="284" spans="1:17" ht="13.2">
      <c r="A284" s="42">
        <v>45763</v>
      </c>
      <c r="B284" s="10">
        <v>1</v>
      </c>
      <c r="C284" s="10" t="s">
        <v>33</v>
      </c>
      <c r="D284" s="10" t="s">
        <v>23</v>
      </c>
      <c r="E284" s="21" t="s">
        <v>242</v>
      </c>
      <c r="F284" s="21">
        <v>12</v>
      </c>
      <c r="G284" s="10">
        <f t="shared" si="6"/>
        <v>12</v>
      </c>
      <c r="H284" s="2"/>
      <c r="I284" s="2"/>
      <c r="J284" s="2"/>
      <c r="K284" s="2"/>
      <c r="L284" s="2"/>
      <c r="M284" s="2"/>
      <c r="N284" s="2"/>
      <c r="O284" s="2"/>
      <c r="P284" s="2"/>
      <c r="Q284" s="2"/>
    </row>
    <row r="285" spans="1:17" ht="13.2">
      <c r="A285" s="42">
        <v>45763</v>
      </c>
      <c r="B285" s="10">
        <v>1</v>
      </c>
      <c r="C285" s="10" t="s">
        <v>22</v>
      </c>
      <c r="D285" s="10" t="s">
        <v>23</v>
      </c>
      <c r="E285" s="21" t="s">
        <v>214</v>
      </c>
      <c r="F285" s="21">
        <v>14</v>
      </c>
      <c r="G285" s="10">
        <f t="shared" si="6"/>
        <v>14</v>
      </c>
      <c r="I285" s="2"/>
      <c r="J285" s="2"/>
      <c r="K285" s="2"/>
      <c r="L285" s="2"/>
      <c r="M285" s="2"/>
      <c r="N285" s="2"/>
      <c r="O285" s="2"/>
      <c r="P285" s="2"/>
      <c r="Q285" s="2"/>
    </row>
    <row r="286" spans="1:17" ht="13.2">
      <c r="A286" s="42">
        <v>45763</v>
      </c>
      <c r="B286" s="10">
        <v>3</v>
      </c>
      <c r="C286" s="10" t="s">
        <v>22</v>
      </c>
      <c r="D286" s="10" t="s">
        <v>23</v>
      </c>
      <c r="E286" s="21" t="s">
        <v>243</v>
      </c>
      <c r="F286" s="21">
        <v>11</v>
      </c>
      <c r="G286" s="10">
        <f t="shared" si="6"/>
        <v>33</v>
      </c>
      <c r="I286" s="2"/>
      <c r="J286" s="2"/>
      <c r="K286" s="2"/>
      <c r="L286" s="2"/>
      <c r="M286" s="2"/>
      <c r="N286" s="2"/>
      <c r="O286" s="2"/>
      <c r="P286" s="2"/>
      <c r="Q286" s="2"/>
    </row>
    <row r="287" spans="1:17" ht="13.2">
      <c r="A287" s="230">
        <v>45763</v>
      </c>
      <c r="B287" s="40">
        <v>10</v>
      </c>
      <c r="C287" s="10" t="s">
        <v>33</v>
      </c>
      <c r="D287" s="10" t="s">
        <v>23</v>
      </c>
      <c r="E287" s="40" t="s">
        <v>244</v>
      </c>
      <c r="F287" s="40">
        <v>21.099</v>
      </c>
      <c r="G287" s="11">
        <f t="shared" si="6"/>
        <v>210.99</v>
      </c>
      <c r="I287" s="2"/>
      <c r="J287" s="2"/>
      <c r="K287" s="2"/>
      <c r="L287" s="2"/>
      <c r="M287" s="2"/>
      <c r="N287" s="2"/>
      <c r="O287" s="2"/>
      <c r="P287" s="2"/>
      <c r="Q287" s="2"/>
    </row>
    <row r="288" spans="1:17" ht="13.2">
      <c r="A288" s="42">
        <v>45763</v>
      </c>
      <c r="B288" s="21">
        <v>1</v>
      </c>
      <c r="C288" s="10" t="s">
        <v>27</v>
      </c>
      <c r="D288" s="10" t="s">
        <v>27</v>
      </c>
      <c r="E288" s="10" t="s">
        <v>64</v>
      </c>
      <c r="F288" s="21">
        <v>160</v>
      </c>
      <c r="G288" s="10">
        <f t="shared" si="6"/>
        <v>160</v>
      </c>
      <c r="I288" s="2"/>
      <c r="J288" s="2"/>
      <c r="K288" s="2"/>
      <c r="L288" s="2"/>
      <c r="M288" s="2"/>
      <c r="N288" s="2"/>
      <c r="O288" s="2"/>
      <c r="P288" s="2"/>
      <c r="Q288" s="2"/>
    </row>
    <row r="289" spans="1:22" ht="13.2">
      <c r="A289" s="42">
        <v>45763</v>
      </c>
      <c r="B289" s="21">
        <v>1</v>
      </c>
      <c r="C289" s="10" t="s">
        <v>22</v>
      </c>
      <c r="D289" s="10" t="s">
        <v>23</v>
      </c>
      <c r="E289" s="21" t="s">
        <v>245</v>
      </c>
      <c r="F289" s="21">
        <v>70</v>
      </c>
      <c r="G289" s="10">
        <f t="shared" si="6"/>
        <v>70</v>
      </c>
      <c r="H289" s="2"/>
      <c r="I289" s="2"/>
      <c r="J289" s="2"/>
      <c r="K289" s="2"/>
      <c r="L289" s="2"/>
      <c r="M289" s="2"/>
      <c r="N289" s="2"/>
      <c r="O289" s="2"/>
      <c r="P289" s="2"/>
    </row>
    <row r="290" spans="1:22" ht="13.2">
      <c r="A290" s="42">
        <v>45763</v>
      </c>
      <c r="B290" s="21">
        <v>3</v>
      </c>
      <c r="C290" s="10" t="s">
        <v>25</v>
      </c>
      <c r="D290" s="10" t="s">
        <v>25</v>
      </c>
      <c r="E290" s="39" t="s">
        <v>246</v>
      </c>
      <c r="F290" s="21">
        <v>733.33333333333303</v>
      </c>
      <c r="G290" s="10">
        <f t="shared" si="6"/>
        <v>2199.9999999999991</v>
      </c>
      <c r="H290" s="2"/>
      <c r="I290" s="2"/>
      <c r="J290" s="2"/>
      <c r="K290" s="2"/>
      <c r="L290" s="2"/>
      <c r="M290" s="2"/>
      <c r="N290" s="2"/>
    </row>
    <row r="291" spans="1:22" ht="13.2">
      <c r="A291" s="158">
        <v>45765</v>
      </c>
      <c r="B291" s="23">
        <v>1</v>
      </c>
      <c r="C291" s="23" t="s">
        <v>31</v>
      </c>
      <c r="D291" s="23" t="s">
        <v>31</v>
      </c>
      <c r="E291" s="41" t="s">
        <v>174</v>
      </c>
      <c r="F291" s="23">
        <v>2550</v>
      </c>
      <c r="G291" s="23">
        <f t="shared" si="6"/>
        <v>2550</v>
      </c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</row>
    <row r="292" spans="1:22" ht="13.2">
      <c r="A292" s="42">
        <v>45768</v>
      </c>
      <c r="B292" s="10">
        <v>1</v>
      </c>
      <c r="C292" s="10" t="s">
        <v>40</v>
      </c>
      <c r="D292" s="10" t="s">
        <v>40</v>
      </c>
      <c r="E292" s="21" t="s">
        <v>87</v>
      </c>
      <c r="F292" s="21">
        <v>112.5</v>
      </c>
      <c r="G292" s="10">
        <f t="shared" si="6"/>
        <v>112.5</v>
      </c>
      <c r="H292" s="2"/>
      <c r="I292" s="2"/>
      <c r="J292" s="2"/>
      <c r="K292" s="2"/>
      <c r="L292" s="2"/>
      <c r="M292" s="2"/>
      <c r="N292" s="2"/>
    </row>
    <row r="293" spans="1:22" ht="13.2">
      <c r="A293" s="42">
        <v>45768</v>
      </c>
      <c r="B293" s="10">
        <v>1</v>
      </c>
      <c r="C293" s="10" t="s">
        <v>40</v>
      </c>
      <c r="D293" s="10" t="s">
        <v>40</v>
      </c>
      <c r="E293" s="21" t="s">
        <v>181</v>
      </c>
      <c r="F293" s="21">
        <v>180</v>
      </c>
      <c r="G293" s="10">
        <f t="shared" si="6"/>
        <v>180</v>
      </c>
      <c r="H293" s="2"/>
      <c r="I293" s="2"/>
      <c r="J293" s="2"/>
      <c r="K293" s="2"/>
      <c r="L293" s="2"/>
      <c r="M293" s="2"/>
      <c r="N293" s="2"/>
    </row>
    <row r="294" spans="1:22" ht="13.2">
      <c r="A294" s="42">
        <v>45768</v>
      </c>
      <c r="B294" s="10">
        <v>1</v>
      </c>
      <c r="C294" s="10" t="s">
        <v>40</v>
      </c>
      <c r="D294" s="10" t="s">
        <v>40</v>
      </c>
      <c r="E294" s="21" t="s">
        <v>173</v>
      </c>
      <c r="F294" s="21">
        <v>1440</v>
      </c>
      <c r="G294" s="10">
        <f t="shared" si="6"/>
        <v>1440</v>
      </c>
      <c r="H294" s="2"/>
      <c r="I294" s="2"/>
      <c r="J294" s="2"/>
      <c r="K294" s="2"/>
      <c r="L294" s="2"/>
      <c r="M294" s="2"/>
      <c r="N294" s="2"/>
    </row>
    <row r="295" spans="1:22" ht="13.2">
      <c r="A295" s="42">
        <v>45768</v>
      </c>
      <c r="B295" s="10">
        <v>1</v>
      </c>
      <c r="C295" s="10" t="s">
        <v>40</v>
      </c>
      <c r="D295" s="10" t="s">
        <v>40</v>
      </c>
      <c r="E295" s="21" t="s">
        <v>247</v>
      </c>
      <c r="F295" s="21">
        <v>240</v>
      </c>
      <c r="G295" s="10">
        <f t="shared" si="6"/>
        <v>240</v>
      </c>
      <c r="H295" s="2"/>
      <c r="I295" s="2"/>
      <c r="J295" s="2"/>
      <c r="K295" s="2"/>
      <c r="L295" s="2"/>
      <c r="M295" s="2"/>
      <c r="N295" s="2"/>
    </row>
    <row r="296" spans="1:22" ht="13.2">
      <c r="A296" s="42">
        <v>45769</v>
      </c>
      <c r="B296" s="10">
        <v>1</v>
      </c>
      <c r="C296" s="10" t="s">
        <v>27</v>
      </c>
      <c r="D296" s="10" t="s">
        <v>27</v>
      </c>
      <c r="E296" s="10" t="s">
        <v>64</v>
      </c>
      <c r="F296" s="21">
        <v>410</v>
      </c>
      <c r="G296" s="10">
        <f t="shared" si="6"/>
        <v>410</v>
      </c>
      <c r="I296" s="2"/>
      <c r="J296" s="2"/>
      <c r="K296" s="2"/>
      <c r="L296" s="2"/>
      <c r="M296" s="2"/>
      <c r="N296" s="2"/>
      <c r="O296" s="2"/>
    </row>
    <row r="297" spans="1:22" ht="13.2">
      <c r="A297" s="42">
        <v>45770</v>
      </c>
      <c r="B297" s="10">
        <v>1</v>
      </c>
      <c r="C297" s="10" t="s">
        <v>79</v>
      </c>
      <c r="D297" s="10" t="s">
        <v>31</v>
      </c>
      <c r="E297" s="21" t="s">
        <v>248</v>
      </c>
      <c r="F297" s="21">
        <v>803</v>
      </c>
      <c r="G297" s="10">
        <f t="shared" si="6"/>
        <v>803</v>
      </c>
      <c r="I297" s="2"/>
      <c r="J297" s="2"/>
      <c r="K297" s="2"/>
      <c r="L297" s="2"/>
      <c r="M297" s="2"/>
      <c r="N297" s="2"/>
      <c r="O297" s="2"/>
    </row>
    <row r="298" spans="1:22" ht="13.2">
      <c r="A298" s="42">
        <v>45771</v>
      </c>
      <c r="B298" s="10">
        <v>1</v>
      </c>
      <c r="C298" s="10" t="s">
        <v>73</v>
      </c>
      <c r="D298" s="10" t="s">
        <v>73</v>
      </c>
      <c r="E298" s="21" t="s">
        <v>249</v>
      </c>
      <c r="F298" s="21">
        <v>270</v>
      </c>
      <c r="G298" s="10">
        <f t="shared" si="6"/>
        <v>270</v>
      </c>
      <c r="I298" s="2"/>
      <c r="J298" s="2"/>
      <c r="K298" s="2"/>
      <c r="L298" s="2"/>
      <c r="M298" s="2"/>
      <c r="N298" s="2"/>
      <c r="O298" s="2"/>
    </row>
    <row r="299" spans="1:22" ht="13.2">
      <c r="A299" s="42">
        <v>45777</v>
      </c>
      <c r="B299" s="10">
        <v>1</v>
      </c>
      <c r="C299" s="10" t="s">
        <v>79</v>
      </c>
      <c r="D299" s="10" t="s">
        <v>31</v>
      </c>
      <c r="E299" s="10" t="s">
        <v>198</v>
      </c>
      <c r="F299" s="21">
        <f>2050.81+66.3</f>
        <v>2117.11</v>
      </c>
      <c r="G299" s="10">
        <f t="shared" si="6"/>
        <v>2117.11</v>
      </c>
      <c r="I299" s="2"/>
      <c r="J299" s="2"/>
      <c r="K299" s="2"/>
      <c r="L299" s="2"/>
      <c r="M299" s="2"/>
      <c r="N299" s="2"/>
      <c r="O299" s="2"/>
    </row>
    <row r="300" spans="1:22" ht="13.2">
      <c r="A300" s="42">
        <v>45777</v>
      </c>
      <c r="B300" s="10">
        <v>1</v>
      </c>
      <c r="C300" s="10" t="s">
        <v>79</v>
      </c>
      <c r="D300" s="10" t="s">
        <v>31</v>
      </c>
      <c r="E300" s="10" t="s">
        <v>250</v>
      </c>
      <c r="F300" s="21">
        <v>1642.51</v>
      </c>
      <c r="G300" s="10">
        <f t="shared" si="6"/>
        <v>1642.51</v>
      </c>
      <c r="I300" s="2"/>
      <c r="J300" s="2"/>
      <c r="K300" s="2"/>
      <c r="L300" s="2"/>
      <c r="M300" s="2"/>
      <c r="N300" s="2"/>
      <c r="O300" s="2"/>
    </row>
    <row r="301" spans="1:22" ht="13.2">
      <c r="A301" s="42">
        <v>45777</v>
      </c>
      <c r="B301" s="10">
        <v>1</v>
      </c>
      <c r="C301" s="10" t="s">
        <v>60</v>
      </c>
      <c r="D301" s="10" t="s">
        <v>23</v>
      </c>
      <c r="E301" s="21" t="s">
        <v>160</v>
      </c>
      <c r="F301" s="21">
        <v>348.46</v>
      </c>
      <c r="G301" s="10">
        <f t="shared" si="6"/>
        <v>348.46</v>
      </c>
      <c r="I301" s="2"/>
      <c r="J301" s="2"/>
      <c r="K301" s="2"/>
      <c r="L301" s="2"/>
      <c r="M301" s="2"/>
      <c r="N301" s="2"/>
      <c r="O301" s="2"/>
    </row>
    <row r="302" spans="1:22" ht="13.2">
      <c r="A302" s="42">
        <v>45777</v>
      </c>
      <c r="B302" s="10">
        <v>1</v>
      </c>
      <c r="C302" s="10" t="s">
        <v>60</v>
      </c>
      <c r="D302" s="10" t="s">
        <v>23</v>
      </c>
      <c r="E302" s="21" t="s">
        <v>165</v>
      </c>
      <c r="F302" s="21">
        <v>701.1</v>
      </c>
      <c r="G302" s="10">
        <f t="shared" si="6"/>
        <v>701.1</v>
      </c>
      <c r="I302" s="2"/>
      <c r="J302" s="2"/>
      <c r="K302" s="2"/>
      <c r="L302" s="2"/>
      <c r="M302" s="2"/>
      <c r="N302" s="2"/>
      <c r="O302" s="2"/>
    </row>
    <row r="303" spans="1:22" ht="13.2">
      <c r="A303" s="42">
        <v>45777</v>
      </c>
      <c r="B303" s="10">
        <v>1</v>
      </c>
      <c r="C303" s="10" t="s">
        <v>60</v>
      </c>
      <c r="D303" s="10" t="s">
        <v>23</v>
      </c>
      <c r="E303" s="21" t="s">
        <v>201</v>
      </c>
      <c r="F303" s="21">
        <v>756.85</v>
      </c>
      <c r="G303" s="10">
        <f t="shared" si="6"/>
        <v>756.85</v>
      </c>
      <c r="I303" s="2"/>
      <c r="J303" s="2"/>
      <c r="K303" s="2"/>
      <c r="L303" s="2"/>
      <c r="M303" s="2"/>
      <c r="N303" s="2"/>
      <c r="O303" s="2"/>
    </row>
    <row r="304" spans="1:22" ht="13.2">
      <c r="A304" s="42">
        <v>45777</v>
      </c>
      <c r="B304" s="10">
        <v>1</v>
      </c>
      <c r="C304" s="10" t="s">
        <v>55</v>
      </c>
      <c r="D304" s="10" t="s">
        <v>31</v>
      </c>
      <c r="E304" s="10" t="s">
        <v>202</v>
      </c>
      <c r="F304" s="21">
        <f>1396.52+276.34</f>
        <v>1672.86</v>
      </c>
      <c r="G304" s="10">
        <f t="shared" si="6"/>
        <v>1672.86</v>
      </c>
      <c r="H304" s="2"/>
      <c r="I304" s="2"/>
      <c r="J304" s="2"/>
      <c r="K304" s="2"/>
      <c r="L304" s="2"/>
      <c r="M304" s="2"/>
      <c r="N304" s="2"/>
      <c r="O304" s="2"/>
    </row>
    <row r="305" spans="1:22" ht="13.2">
      <c r="A305" s="42">
        <v>45777</v>
      </c>
      <c r="B305" s="10">
        <v>1</v>
      </c>
      <c r="C305" s="10" t="s">
        <v>55</v>
      </c>
      <c r="D305" s="10" t="s">
        <v>31</v>
      </c>
      <c r="E305" s="10" t="s">
        <v>196</v>
      </c>
      <c r="F305" s="21">
        <v>1396.52</v>
      </c>
      <c r="G305" s="10">
        <f t="shared" si="6"/>
        <v>1396.52</v>
      </c>
      <c r="H305" s="2"/>
      <c r="I305" s="2"/>
      <c r="J305" s="2"/>
      <c r="K305" s="2"/>
      <c r="L305" s="2"/>
      <c r="M305" s="2"/>
      <c r="N305" s="2"/>
      <c r="O305" s="2"/>
    </row>
    <row r="306" spans="1:22" ht="13.2">
      <c r="A306" s="42">
        <v>45777</v>
      </c>
      <c r="B306" s="10">
        <v>1</v>
      </c>
      <c r="C306" s="10" t="s">
        <v>55</v>
      </c>
      <c r="D306" s="10" t="s">
        <v>31</v>
      </c>
      <c r="E306" s="10" t="s">
        <v>197</v>
      </c>
      <c r="F306" s="21">
        <v>1103.29</v>
      </c>
      <c r="G306" s="10">
        <f t="shared" si="6"/>
        <v>1103.29</v>
      </c>
      <c r="H306" s="2"/>
      <c r="I306" s="2"/>
      <c r="J306" s="2"/>
      <c r="K306" s="2"/>
      <c r="L306" s="2"/>
      <c r="M306" s="2"/>
      <c r="N306" s="2"/>
      <c r="O306" s="2"/>
      <c r="P306" s="2"/>
      <c r="Q306" s="2"/>
    </row>
    <row r="307" spans="1:22" ht="13.2">
      <c r="A307" s="42">
        <v>45777</v>
      </c>
      <c r="B307" s="10">
        <v>1</v>
      </c>
      <c r="C307" s="10" t="s">
        <v>55</v>
      </c>
      <c r="D307" s="10" t="s">
        <v>56</v>
      </c>
      <c r="E307" s="10" t="s">
        <v>251</v>
      </c>
      <c r="F307" s="21">
        <v>732.44</v>
      </c>
      <c r="G307" s="10">
        <f t="shared" si="6"/>
        <v>732.44</v>
      </c>
      <c r="H307" s="2"/>
      <c r="I307" s="2"/>
      <c r="J307" s="2"/>
      <c r="K307" s="2"/>
      <c r="L307" s="2"/>
      <c r="M307" s="2"/>
      <c r="N307" s="2"/>
      <c r="O307" s="2"/>
      <c r="P307" s="2"/>
      <c r="Q307" s="2"/>
    </row>
    <row r="308" spans="1:22" ht="13.2">
      <c r="A308" s="158">
        <v>45777</v>
      </c>
      <c r="B308" s="23">
        <v>1</v>
      </c>
      <c r="C308" s="23" t="s">
        <v>31</v>
      </c>
      <c r="D308" s="23" t="s">
        <v>31</v>
      </c>
      <c r="E308" s="23" t="s">
        <v>122</v>
      </c>
      <c r="F308" s="23">
        <v>10000</v>
      </c>
      <c r="G308" s="23">
        <f t="shared" si="6"/>
        <v>10000</v>
      </c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</row>
    <row r="309" spans="1:22" ht="13.2">
      <c r="A309" s="42">
        <v>45777</v>
      </c>
      <c r="B309" s="10">
        <v>1</v>
      </c>
      <c r="C309" s="10" t="s">
        <v>40</v>
      </c>
      <c r="D309" s="10" t="s">
        <v>40</v>
      </c>
      <c r="E309" s="10" t="s">
        <v>84</v>
      </c>
      <c r="F309" s="21">
        <f>3255.02+232.05</f>
        <v>3487.07</v>
      </c>
      <c r="G309" s="10">
        <f t="shared" si="6"/>
        <v>3487.07</v>
      </c>
      <c r="H309" s="2"/>
      <c r="I309" s="2"/>
      <c r="J309" s="2"/>
      <c r="K309" s="2"/>
      <c r="L309" s="2"/>
      <c r="M309" s="2"/>
      <c r="N309" s="2"/>
      <c r="O309" s="2"/>
      <c r="P309" s="2"/>
      <c r="Q309" s="2"/>
    </row>
    <row r="310" spans="1:22" ht="13.2">
      <c r="A310" s="42">
        <v>45777</v>
      </c>
      <c r="B310" s="10">
        <v>1</v>
      </c>
      <c r="C310" s="10" t="s">
        <v>56</v>
      </c>
      <c r="D310" s="10" t="s">
        <v>56</v>
      </c>
      <c r="E310" s="10" t="s">
        <v>84</v>
      </c>
      <c r="F310" s="21">
        <v>1659.4</v>
      </c>
      <c r="G310" s="10">
        <f t="shared" si="6"/>
        <v>1659.4</v>
      </c>
      <c r="H310" s="2"/>
      <c r="J310" s="2"/>
      <c r="K310" s="2"/>
      <c r="L310" s="2"/>
      <c r="M310" s="2"/>
      <c r="N310" s="2"/>
      <c r="O310" s="2"/>
      <c r="P310" s="2"/>
      <c r="Q310" s="2"/>
    </row>
    <row r="311" spans="1:22" ht="13.2">
      <c r="A311" s="42">
        <v>45777</v>
      </c>
      <c r="B311" s="10">
        <v>1</v>
      </c>
      <c r="C311" s="10" t="s">
        <v>33</v>
      </c>
      <c r="D311" s="10" t="s">
        <v>23</v>
      </c>
      <c r="E311" s="10" t="s">
        <v>84</v>
      </c>
      <c r="F311" s="21">
        <v>525.70000000000005</v>
      </c>
      <c r="G311" s="10">
        <f t="shared" si="6"/>
        <v>525.70000000000005</v>
      </c>
      <c r="H311" s="2"/>
      <c r="J311" s="2"/>
      <c r="K311" s="2"/>
      <c r="L311" s="2"/>
      <c r="M311" s="2"/>
      <c r="N311" s="2"/>
      <c r="O311" s="2"/>
      <c r="P311" s="2"/>
      <c r="Q311" s="2"/>
    </row>
    <row r="312" spans="1:22" ht="13.2">
      <c r="A312" s="42">
        <v>45777</v>
      </c>
      <c r="B312" s="10">
        <v>1</v>
      </c>
      <c r="C312" s="10" t="s">
        <v>252</v>
      </c>
      <c r="D312" s="10" t="s">
        <v>23</v>
      </c>
      <c r="E312" s="10" t="s">
        <v>84</v>
      </c>
      <c r="F312" s="21">
        <v>2686.78</v>
      </c>
      <c r="G312" s="10">
        <f t="shared" si="6"/>
        <v>2686.78</v>
      </c>
      <c r="H312" s="2"/>
      <c r="J312" s="2"/>
      <c r="K312" s="2"/>
      <c r="L312" s="2"/>
      <c r="M312" s="2"/>
      <c r="N312" s="2"/>
      <c r="O312" s="2"/>
      <c r="P312" s="2"/>
      <c r="Q312" s="2"/>
    </row>
    <row r="313" spans="1:22" ht="13.2">
      <c r="A313" s="42">
        <v>45777</v>
      </c>
      <c r="B313" s="10">
        <v>1</v>
      </c>
      <c r="C313" s="10" t="s">
        <v>22</v>
      </c>
      <c r="D313" s="10" t="s">
        <v>23</v>
      </c>
      <c r="E313" s="10" t="s">
        <v>84</v>
      </c>
      <c r="F313" s="21">
        <v>1622.23</v>
      </c>
      <c r="G313" s="10">
        <f t="shared" si="6"/>
        <v>1622.23</v>
      </c>
      <c r="H313" s="2"/>
      <c r="J313" s="2"/>
      <c r="K313" s="2"/>
      <c r="L313" s="2"/>
      <c r="M313" s="2"/>
      <c r="N313" s="2"/>
      <c r="O313" s="2"/>
      <c r="P313" s="2"/>
      <c r="Q313" s="2"/>
    </row>
    <row r="314" spans="1:22" ht="13.2">
      <c r="A314" s="42">
        <v>45777</v>
      </c>
      <c r="B314" s="10">
        <v>1</v>
      </c>
      <c r="C314" s="10" t="s">
        <v>253</v>
      </c>
      <c r="D314" s="10" t="s">
        <v>23</v>
      </c>
      <c r="E314" s="10" t="s">
        <v>84</v>
      </c>
      <c r="F314" s="21">
        <v>773.36</v>
      </c>
      <c r="G314" s="10">
        <f t="shared" si="6"/>
        <v>773.36</v>
      </c>
      <c r="H314" s="2"/>
      <c r="J314" s="2"/>
      <c r="K314" s="2"/>
      <c r="L314" s="2"/>
      <c r="M314" s="2"/>
      <c r="N314" s="2"/>
      <c r="O314" s="2"/>
      <c r="P314" s="2"/>
      <c r="Q314" s="2"/>
    </row>
    <row r="315" spans="1:22" ht="13.2">
      <c r="A315" s="158">
        <v>45777</v>
      </c>
      <c r="B315" s="23">
        <v>4</v>
      </c>
      <c r="C315" s="23" t="s">
        <v>31</v>
      </c>
      <c r="D315" s="23" t="s">
        <v>31</v>
      </c>
      <c r="E315" s="23" t="s">
        <v>48</v>
      </c>
      <c r="F315" s="23">
        <v>128.47999999999999</v>
      </c>
      <c r="G315" s="23">
        <f t="shared" si="6"/>
        <v>513.91999999999996</v>
      </c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</row>
    <row r="316" spans="1:22" ht="13.2">
      <c r="A316" s="158">
        <v>45777</v>
      </c>
      <c r="B316" s="23">
        <v>1</v>
      </c>
      <c r="C316" s="23" t="s">
        <v>31</v>
      </c>
      <c r="D316" s="23" t="s">
        <v>31</v>
      </c>
      <c r="E316" s="23" t="s">
        <v>49</v>
      </c>
      <c r="F316" s="23">
        <v>146.9</v>
      </c>
      <c r="G316" s="23">
        <f t="shared" si="6"/>
        <v>146.9</v>
      </c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</row>
    <row r="317" spans="1:22" ht="13.2">
      <c r="A317" s="158">
        <v>45777</v>
      </c>
      <c r="B317" s="23">
        <v>1</v>
      </c>
      <c r="C317" s="23" t="s">
        <v>193</v>
      </c>
      <c r="D317" s="23" t="s">
        <v>31</v>
      </c>
      <c r="E317" s="23" t="s">
        <v>50</v>
      </c>
      <c r="F317" s="23">
        <v>300</v>
      </c>
      <c r="G317" s="23">
        <f t="shared" si="6"/>
        <v>300</v>
      </c>
      <c r="H317" s="2"/>
      <c r="J317" s="2"/>
      <c r="K317" s="2"/>
      <c r="L317" s="2"/>
      <c r="M317" s="2"/>
      <c r="N317" s="2"/>
      <c r="O317" s="2"/>
      <c r="P317" s="2"/>
      <c r="Q317" s="2"/>
    </row>
    <row r="318" spans="1:22" ht="13.2">
      <c r="A318" s="158">
        <v>45777</v>
      </c>
      <c r="B318" s="23">
        <v>1</v>
      </c>
      <c r="C318" s="23" t="s">
        <v>193</v>
      </c>
      <c r="D318" s="23" t="s">
        <v>31</v>
      </c>
      <c r="E318" s="23" t="s">
        <v>51</v>
      </c>
      <c r="F318" s="23">
        <v>300</v>
      </c>
      <c r="G318" s="23">
        <f t="shared" si="6"/>
        <v>300</v>
      </c>
      <c r="H318" s="2"/>
      <c r="J318" s="2"/>
      <c r="K318" s="2"/>
      <c r="L318" s="2"/>
      <c r="M318" s="2"/>
      <c r="N318" s="2"/>
      <c r="O318" s="2"/>
      <c r="P318" s="2"/>
      <c r="Q318" s="2"/>
    </row>
    <row r="319" spans="1:22" ht="13.2">
      <c r="A319" s="158">
        <v>45777</v>
      </c>
      <c r="B319" s="23">
        <v>1</v>
      </c>
      <c r="C319" s="23" t="s">
        <v>193</v>
      </c>
      <c r="D319" s="23" t="s">
        <v>31</v>
      </c>
      <c r="E319" s="23" t="s">
        <v>52</v>
      </c>
      <c r="F319" s="23">
        <v>100</v>
      </c>
      <c r="G319" s="23">
        <f t="shared" si="6"/>
        <v>100</v>
      </c>
      <c r="H319" s="2"/>
      <c r="J319" s="2"/>
      <c r="K319" s="2"/>
      <c r="L319" s="2"/>
      <c r="M319" s="2"/>
      <c r="N319" s="2"/>
      <c r="O319" s="2"/>
      <c r="P319" s="2"/>
      <c r="Q319" s="2"/>
    </row>
    <row r="320" spans="1:22" ht="13.2">
      <c r="A320" s="158">
        <v>45777</v>
      </c>
      <c r="B320" s="23">
        <v>1</v>
      </c>
      <c r="C320" s="23" t="s">
        <v>193</v>
      </c>
      <c r="D320" s="23" t="s">
        <v>31</v>
      </c>
      <c r="E320" s="23" t="s">
        <v>53</v>
      </c>
      <c r="F320" s="23">
        <v>160</v>
      </c>
      <c r="G320" s="23">
        <f t="shared" si="6"/>
        <v>160</v>
      </c>
      <c r="H320" s="2"/>
      <c r="J320" s="2"/>
      <c r="K320" s="2"/>
      <c r="L320" s="2"/>
      <c r="M320" s="2"/>
      <c r="N320" s="2"/>
      <c r="O320" s="2"/>
      <c r="P320" s="2"/>
      <c r="Q320" s="2"/>
    </row>
    <row r="321" spans="1:17" ht="13.2">
      <c r="A321" s="158">
        <v>45777</v>
      </c>
      <c r="B321" s="23">
        <v>1</v>
      </c>
      <c r="C321" s="23" t="s">
        <v>193</v>
      </c>
      <c r="D321" s="23" t="s">
        <v>31</v>
      </c>
      <c r="E321" s="23" t="s">
        <v>54</v>
      </c>
      <c r="F321" s="23">
        <v>100</v>
      </c>
      <c r="G321" s="23">
        <f t="shared" si="6"/>
        <v>100</v>
      </c>
      <c r="H321" s="2"/>
      <c r="J321" s="2"/>
      <c r="K321" s="2"/>
      <c r="L321" s="2"/>
      <c r="M321" s="2"/>
      <c r="N321" s="2"/>
      <c r="O321" s="2"/>
      <c r="P321" s="2"/>
      <c r="Q321" s="2"/>
    </row>
    <row r="322" spans="1:17" ht="13.2">
      <c r="A322" s="158">
        <v>45777</v>
      </c>
      <c r="B322" s="23">
        <v>1</v>
      </c>
      <c r="C322" s="23" t="s">
        <v>40</v>
      </c>
      <c r="D322" s="23" t="s">
        <v>40</v>
      </c>
      <c r="E322" s="23" t="s">
        <v>116</v>
      </c>
      <c r="F322" s="23">
        <v>40</v>
      </c>
      <c r="G322" s="23">
        <f t="shared" si="6"/>
        <v>40</v>
      </c>
      <c r="H322" s="2"/>
      <c r="J322" s="2"/>
      <c r="K322" s="2"/>
      <c r="L322" s="2"/>
      <c r="M322" s="2"/>
      <c r="N322" s="2"/>
      <c r="O322" s="2"/>
      <c r="P322" s="2"/>
      <c r="Q322" s="2"/>
    </row>
    <row r="323" spans="1:17" ht="13.2">
      <c r="A323" s="158">
        <v>45777</v>
      </c>
      <c r="B323" s="23">
        <v>1</v>
      </c>
      <c r="C323" s="23" t="s">
        <v>31</v>
      </c>
      <c r="D323" s="23" t="s">
        <v>31</v>
      </c>
      <c r="E323" s="23" t="s">
        <v>117</v>
      </c>
      <c r="F323" s="23">
        <v>650</v>
      </c>
      <c r="G323" s="23">
        <f t="shared" si="6"/>
        <v>650</v>
      </c>
      <c r="H323" s="2"/>
      <c r="J323" s="2"/>
      <c r="K323" s="2"/>
      <c r="L323" s="2"/>
      <c r="M323" s="2"/>
      <c r="N323" s="2"/>
      <c r="O323" s="2"/>
      <c r="P323" s="2"/>
      <c r="Q323" s="2"/>
    </row>
    <row r="324" spans="1:17" ht="13.2">
      <c r="A324" s="158">
        <v>45777</v>
      </c>
      <c r="B324" s="23">
        <v>2</v>
      </c>
      <c r="C324" s="23" t="s">
        <v>254</v>
      </c>
      <c r="D324" s="23" t="s">
        <v>31</v>
      </c>
      <c r="E324" s="23" t="s">
        <v>118</v>
      </c>
      <c r="F324" s="23">
        <v>146</v>
      </c>
      <c r="G324" s="23">
        <f t="shared" si="6"/>
        <v>292</v>
      </c>
      <c r="H324" s="2"/>
      <c r="J324" s="2"/>
      <c r="K324" s="2"/>
      <c r="L324" s="2"/>
      <c r="M324" s="2"/>
      <c r="N324" s="2"/>
      <c r="O324" s="2"/>
      <c r="P324" s="2"/>
      <c r="Q324" s="2"/>
    </row>
    <row r="325" spans="1:17" ht="13.2">
      <c r="A325" s="158">
        <v>45777</v>
      </c>
      <c r="B325" s="23">
        <v>1</v>
      </c>
      <c r="C325" s="23" t="s">
        <v>31</v>
      </c>
      <c r="D325" s="23" t="s">
        <v>31</v>
      </c>
      <c r="E325" s="23" t="s">
        <v>119</v>
      </c>
      <c r="F325" s="23">
        <v>430</v>
      </c>
      <c r="G325" s="23">
        <f t="shared" si="6"/>
        <v>430</v>
      </c>
      <c r="H325" s="2"/>
      <c r="J325" s="2"/>
      <c r="K325" s="2"/>
      <c r="L325" s="2"/>
      <c r="M325" s="2"/>
      <c r="N325" s="2"/>
      <c r="O325" s="2"/>
      <c r="P325" s="2"/>
      <c r="Q325" s="2"/>
    </row>
    <row r="326" spans="1:17" ht="13.2">
      <c r="A326" s="158">
        <v>45777</v>
      </c>
      <c r="B326" s="23">
        <v>1</v>
      </c>
      <c r="C326" s="23" t="s">
        <v>194</v>
      </c>
      <c r="D326" s="23" t="s">
        <v>31</v>
      </c>
      <c r="E326" s="23" t="s">
        <v>120</v>
      </c>
      <c r="F326" s="23">
        <v>80</v>
      </c>
      <c r="G326" s="23">
        <f t="shared" si="6"/>
        <v>80</v>
      </c>
      <c r="H326" s="2"/>
      <c r="J326" s="2"/>
      <c r="K326" s="2"/>
      <c r="L326" s="2"/>
      <c r="M326" s="2"/>
      <c r="N326" s="2"/>
      <c r="O326" s="2"/>
      <c r="P326" s="2"/>
      <c r="Q326" s="2"/>
    </row>
    <row r="327" spans="1:17" ht="13.2">
      <c r="A327" s="158">
        <v>45777</v>
      </c>
      <c r="B327" s="23">
        <v>2</v>
      </c>
      <c r="C327" s="23" t="s">
        <v>194</v>
      </c>
      <c r="D327" s="23" t="s">
        <v>31</v>
      </c>
      <c r="E327" s="23" t="s">
        <v>121</v>
      </c>
      <c r="F327" s="23">
        <v>74</v>
      </c>
      <c r="G327" s="23">
        <f t="shared" si="6"/>
        <v>148</v>
      </c>
      <c r="H327" s="2"/>
      <c r="J327" s="2"/>
      <c r="K327" s="2"/>
      <c r="L327" s="2"/>
      <c r="M327" s="2"/>
      <c r="N327" s="2"/>
      <c r="O327" s="2"/>
      <c r="P327" s="2"/>
      <c r="Q327" s="2"/>
    </row>
    <row r="328" spans="1:17" ht="13.2">
      <c r="A328" s="42">
        <v>45777</v>
      </c>
      <c r="B328" s="10">
        <v>1</v>
      </c>
      <c r="C328" s="10" t="s">
        <v>123</v>
      </c>
      <c r="D328" s="10" t="s">
        <v>23</v>
      </c>
      <c r="E328" s="10" t="s">
        <v>255</v>
      </c>
      <c r="F328" s="21">
        <v>2107.1999999999998</v>
      </c>
      <c r="G328" s="10">
        <f t="shared" si="6"/>
        <v>2107.1999999999998</v>
      </c>
      <c r="H328" s="2"/>
      <c r="J328" s="2"/>
      <c r="K328" s="2"/>
      <c r="L328" s="2"/>
      <c r="M328" s="2"/>
      <c r="N328" s="2"/>
      <c r="O328" s="2"/>
      <c r="P328" s="2"/>
      <c r="Q328" s="2"/>
    </row>
    <row r="329" spans="1:17" ht="13.2">
      <c r="A329" s="42">
        <v>45777</v>
      </c>
      <c r="B329" s="23">
        <v>1</v>
      </c>
      <c r="C329" s="23" t="s">
        <v>31</v>
      </c>
      <c r="D329" s="23" t="s">
        <v>31</v>
      </c>
      <c r="E329" s="23" t="s">
        <v>256</v>
      </c>
      <c r="F329" s="23">
        <v>165</v>
      </c>
      <c r="G329" s="23">
        <f t="shared" si="6"/>
        <v>165</v>
      </c>
      <c r="H329" s="2"/>
      <c r="J329" s="2"/>
      <c r="K329" s="2"/>
      <c r="L329" s="2"/>
      <c r="M329" s="2"/>
      <c r="N329" s="2"/>
      <c r="O329" s="2"/>
      <c r="P329" s="2"/>
      <c r="Q329" s="2"/>
    </row>
    <row r="330" spans="1:17" ht="13.2">
      <c r="A330" s="42">
        <v>45779</v>
      </c>
      <c r="B330" s="10">
        <v>5</v>
      </c>
      <c r="C330" s="10" t="s">
        <v>22</v>
      </c>
      <c r="D330" s="10" t="s">
        <v>23</v>
      </c>
      <c r="E330" s="21" t="s">
        <v>187</v>
      </c>
      <c r="F330" s="21">
        <v>19</v>
      </c>
      <c r="G330" s="10">
        <f t="shared" si="6"/>
        <v>95</v>
      </c>
      <c r="J330" s="2"/>
      <c r="K330" s="2"/>
      <c r="L330" s="2"/>
      <c r="M330" s="2"/>
      <c r="N330" s="2"/>
      <c r="O330" s="2"/>
      <c r="P330" s="2"/>
      <c r="Q330" s="2"/>
    </row>
    <row r="331" spans="1:17" ht="13.2">
      <c r="A331" s="42">
        <v>45779</v>
      </c>
      <c r="B331" s="21">
        <v>1</v>
      </c>
      <c r="C331" s="10" t="s">
        <v>22</v>
      </c>
      <c r="D331" s="10" t="s">
        <v>23</v>
      </c>
      <c r="E331" s="21" t="s">
        <v>188</v>
      </c>
      <c r="F331" s="21">
        <v>11</v>
      </c>
      <c r="G331" s="10">
        <f t="shared" si="6"/>
        <v>11</v>
      </c>
      <c r="J331" s="2"/>
      <c r="K331" s="2"/>
      <c r="L331" s="2"/>
      <c r="M331" s="2"/>
      <c r="N331" s="2"/>
      <c r="O331" s="2"/>
      <c r="P331" s="2"/>
      <c r="Q331" s="2"/>
    </row>
    <row r="332" spans="1:17" ht="13.2">
      <c r="A332" s="42">
        <v>45779</v>
      </c>
      <c r="B332" s="21">
        <v>3</v>
      </c>
      <c r="C332" s="10" t="s">
        <v>33</v>
      </c>
      <c r="D332" s="10" t="s">
        <v>23</v>
      </c>
      <c r="E332" s="21" t="s">
        <v>257</v>
      </c>
      <c r="F332" s="21">
        <v>52</v>
      </c>
      <c r="G332" s="10">
        <f t="shared" si="6"/>
        <v>156</v>
      </c>
      <c r="H332" s="2"/>
      <c r="J332" s="2"/>
      <c r="K332" s="2"/>
      <c r="L332" s="2"/>
      <c r="M332" s="2"/>
      <c r="N332" s="2"/>
      <c r="O332" s="2"/>
      <c r="P332" s="2"/>
      <c r="Q332" s="2"/>
    </row>
    <row r="333" spans="1:17" ht="13.2">
      <c r="A333" s="42">
        <v>45779</v>
      </c>
      <c r="B333" s="21">
        <v>1</v>
      </c>
      <c r="C333" s="10" t="s">
        <v>22</v>
      </c>
      <c r="D333" s="10" t="s">
        <v>23</v>
      </c>
      <c r="E333" s="21" t="s">
        <v>258</v>
      </c>
      <c r="F333" s="21">
        <v>22</v>
      </c>
      <c r="G333" s="10">
        <f t="shared" si="6"/>
        <v>22</v>
      </c>
      <c r="H333" s="2"/>
      <c r="J333" s="2"/>
      <c r="K333" s="2"/>
      <c r="L333" s="2"/>
      <c r="M333" s="2"/>
      <c r="N333" s="2"/>
      <c r="O333" s="2"/>
      <c r="P333" s="2"/>
      <c r="Q333" s="2"/>
    </row>
    <row r="334" spans="1:17" ht="13.2">
      <c r="A334" s="42">
        <v>45779</v>
      </c>
      <c r="B334" s="21">
        <v>2</v>
      </c>
      <c r="C334" s="10" t="s">
        <v>205</v>
      </c>
      <c r="D334" s="10" t="s">
        <v>23</v>
      </c>
      <c r="E334" s="21" t="s">
        <v>259</v>
      </c>
      <c r="F334" s="21">
        <v>9</v>
      </c>
      <c r="G334" s="10">
        <f t="shared" si="6"/>
        <v>18</v>
      </c>
      <c r="H334" s="2"/>
      <c r="J334" s="2"/>
      <c r="K334" s="2"/>
      <c r="L334" s="2"/>
      <c r="M334" s="2"/>
      <c r="N334" s="2"/>
      <c r="O334" s="2"/>
      <c r="P334" s="2"/>
      <c r="Q334" s="2"/>
    </row>
    <row r="335" spans="1:17" ht="13.2">
      <c r="A335" s="42">
        <v>45779</v>
      </c>
      <c r="B335" s="21">
        <v>1</v>
      </c>
      <c r="C335" s="10" t="s">
        <v>22</v>
      </c>
      <c r="D335" s="10" t="s">
        <v>23</v>
      </c>
      <c r="E335" s="21" t="s">
        <v>260</v>
      </c>
      <c r="F335" s="21">
        <v>40</v>
      </c>
      <c r="G335" s="10">
        <f t="shared" si="6"/>
        <v>40</v>
      </c>
      <c r="H335" s="2"/>
      <c r="L335" s="2"/>
      <c r="M335" s="2"/>
      <c r="N335" s="2"/>
      <c r="O335" s="2"/>
      <c r="P335" s="2"/>
      <c r="Q335" s="2"/>
    </row>
    <row r="336" spans="1:17" ht="13.2">
      <c r="A336" s="42">
        <v>45782</v>
      </c>
      <c r="B336" s="21">
        <v>1</v>
      </c>
      <c r="C336" s="10" t="s">
        <v>40</v>
      </c>
      <c r="D336" s="10" t="s">
        <v>40</v>
      </c>
      <c r="E336" s="21" t="s">
        <v>182</v>
      </c>
      <c r="F336" s="21">
        <v>337.5</v>
      </c>
      <c r="G336" s="10">
        <f t="shared" si="6"/>
        <v>337.5</v>
      </c>
      <c r="H336" s="2"/>
      <c r="L336" s="2"/>
      <c r="M336" s="2"/>
      <c r="N336" s="2"/>
      <c r="O336" s="2"/>
      <c r="P336" s="2"/>
      <c r="Q336" s="2"/>
    </row>
    <row r="337" spans="1:17" ht="13.2">
      <c r="A337" s="42">
        <v>45782</v>
      </c>
      <c r="B337" s="21">
        <v>1</v>
      </c>
      <c r="C337" s="10" t="s">
        <v>40</v>
      </c>
      <c r="D337" s="10" t="s">
        <v>40</v>
      </c>
      <c r="E337" s="21" t="s">
        <v>181</v>
      </c>
      <c r="F337" s="21">
        <v>292.5</v>
      </c>
      <c r="G337" s="10">
        <f t="shared" si="6"/>
        <v>292.5</v>
      </c>
      <c r="H337" s="2"/>
      <c r="L337" s="2"/>
      <c r="M337" s="2"/>
      <c r="N337" s="2"/>
      <c r="O337" s="2"/>
      <c r="P337" s="2"/>
      <c r="Q337" s="2"/>
    </row>
    <row r="338" spans="1:17" ht="13.2">
      <c r="A338" s="42">
        <v>45782</v>
      </c>
      <c r="B338" s="21">
        <v>1</v>
      </c>
      <c r="C338" s="10" t="s">
        <v>40</v>
      </c>
      <c r="D338" s="10" t="s">
        <v>40</v>
      </c>
      <c r="E338" s="21" t="s">
        <v>161</v>
      </c>
      <c r="F338" s="21">
        <v>1232.5</v>
      </c>
      <c r="G338" s="10">
        <f t="shared" si="6"/>
        <v>1232.5</v>
      </c>
      <c r="H338" s="2"/>
      <c r="L338" s="2"/>
      <c r="M338" s="2"/>
      <c r="N338" s="2"/>
      <c r="O338" s="2"/>
      <c r="P338" s="2"/>
      <c r="Q338" s="2"/>
    </row>
    <row r="339" spans="1:17" ht="13.2">
      <c r="A339" s="42">
        <v>45783</v>
      </c>
      <c r="B339" s="21">
        <v>1</v>
      </c>
      <c r="C339" s="10" t="s">
        <v>40</v>
      </c>
      <c r="D339" s="10" t="s">
        <v>40</v>
      </c>
      <c r="E339" s="21" t="s">
        <v>173</v>
      </c>
      <c r="F339" s="21">
        <v>1800</v>
      </c>
      <c r="G339" s="10">
        <f t="shared" si="6"/>
        <v>1800</v>
      </c>
      <c r="H339" s="2"/>
    </row>
    <row r="340" spans="1:17" ht="13.2">
      <c r="A340" s="42">
        <v>45787</v>
      </c>
      <c r="B340" s="10">
        <v>1</v>
      </c>
      <c r="C340" s="10" t="s">
        <v>60</v>
      </c>
      <c r="D340" s="10" t="s">
        <v>23</v>
      </c>
      <c r="E340" s="21" t="s">
        <v>225</v>
      </c>
      <c r="F340" s="21">
        <v>70</v>
      </c>
      <c r="G340" s="10">
        <f t="shared" si="6"/>
        <v>70</v>
      </c>
      <c r="I340" s="2"/>
      <c r="J340" s="2"/>
      <c r="K340" s="2"/>
      <c r="L340" s="2"/>
      <c r="M340" s="2"/>
      <c r="N340" s="2"/>
      <c r="O340" s="2"/>
      <c r="P340" s="2"/>
      <c r="Q340" s="2"/>
    </row>
    <row r="341" spans="1:17" ht="13.2">
      <c r="A341" s="42">
        <v>45789</v>
      </c>
      <c r="B341" s="21">
        <v>3</v>
      </c>
      <c r="C341" s="10" t="s">
        <v>22</v>
      </c>
      <c r="D341" s="10" t="s">
        <v>23</v>
      </c>
      <c r="E341" s="21" t="s">
        <v>187</v>
      </c>
      <c r="F341" s="21">
        <v>19</v>
      </c>
      <c r="G341" s="10">
        <f t="shared" si="6"/>
        <v>57</v>
      </c>
      <c r="H341" s="2"/>
      <c r="L341" s="2"/>
      <c r="M341" s="2"/>
      <c r="N341" s="2"/>
      <c r="O341" s="2"/>
      <c r="P341" s="2"/>
      <c r="Q341" s="2"/>
    </row>
    <row r="342" spans="1:17" ht="13.2">
      <c r="A342" s="42">
        <v>45789</v>
      </c>
      <c r="B342" s="21">
        <v>4</v>
      </c>
      <c r="C342" s="10" t="s">
        <v>22</v>
      </c>
      <c r="D342" s="10" t="s">
        <v>23</v>
      </c>
      <c r="E342" s="21" t="s">
        <v>188</v>
      </c>
      <c r="F342" s="21">
        <v>11</v>
      </c>
      <c r="G342" s="10">
        <f t="shared" si="6"/>
        <v>44</v>
      </c>
      <c r="H342" s="2"/>
      <c r="L342" s="2"/>
      <c r="M342" s="2"/>
      <c r="N342" s="2"/>
      <c r="O342" s="2"/>
      <c r="P342" s="2"/>
      <c r="Q342" s="2"/>
    </row>
    <row r="343" spans="1:17" ht="13.2">
      <c r="A343" s="42">
        <v>45789</v>
      </c>
      <c r="B343" s="21">
        <v>5</v>
      </c>
      <c r="C343" s="10" t="s">
        <v>22</v>
      </c>
      <c r="D343" s="10" t="s">
        <v>23</v>
      </c>
      <c r="E343" s="21" t="s">
        <v>207</v>
      </c>
      <c r="F343" s="21">
        <v>10</v>
      </c>
      <c r="G343" s="10">
        <f t="shared" si="6"/>
        <v>50</v>
      </c>
      <c r="H343" s="2"/>
      <c r="I343" s="2"/>
      <c r="L343" s="2"/>
      <c r="M343" s="2"/>
      <c r="N343" s="2"/>
      <c r="O343" s="2"/>
      <c r="P343" s="2"/>
      <c r="Q343" s="2"/>
    </row>
    <row r="344" spans="1:17" ht="13.2">
      <c r="A344" s="42">
        <v>45789</v>
      </c>
      <c r="B344" s="21">
        <v>3</v>
      </c>
      <c r="C344" s="10" t="s">
        <v>205</v>
      </c>
      <c r="D344" s="10" t="s">
        <v>23</v>
      </c>
      <c r="E344" s="21" t="s">
        <v>261</v>
      </c>
      <c r="F344" s="21">
        <v>9</v>
      </c>
      <c r="G344" s="10">
        <f t="shared" si="6"/>
        <v>27</v>
      </c>
      <c r="H344" s="2"/>
      <c r="L344" s="2"/>
      <c r="M344" s="2"/>
      <c r="N344" s="2"/>
      <c r="O344" s="2"/>
      <c r="P344" s="2"/>
      <c r="Q344" s="2"/>
    </row>
    <row r="345" spans="1:17" ht="13.2">
      <c r="A345" s="42">
        <v>45789</v>
      </c>
      <c r="B345" s="21">
        <v>1</v>
      </c>
      <c r="C345" s="10" t="s">
        <v>22</v>
      </c>
      <c r="D345" s="10" t="s">
        <v>23</v>
      </c>
      <c r="E345" s="21" t="s">
        <v>262</v>
      </c>
      <c r="F345" s="21">
        <v>13</v>
      </c>
      <c r="G345" s="10">
        <f t="shared" si="6"/>
        <v>13</v>
      </c>
      <c r="H345" s="2"/>
      <c r="L345" s="2"/>
      <c r="M345" s="2"/>
      <c r="N345" s="2"/>
      <c r="O345" s="2"/>
      <c r="P345" s="2"/>
      <c r="Q345" s="2"/>
    </row>
    <row r="346" spans="1:17" ht="13.2">
      <c r="A346" s="42">
        <v>45789</v>
      </c>
      <c r="B346" s="21">
        <v>5</v>
      </c>
      <c r="C346" s="10" t="s">
        <v>205</v>
      </c>
      <c r="D346" s="10" t="s">
        <v>23</v>
      </c>
      <c r="E346" s="21" t="s">
        <v>206</v>
      </c>
      <c r="F346" s="21">
        <v>7</v>
      </c>
      <c r="G346" s="10">
        <f t="shared" si="6"/>
        <v>35</v>
      </c>
      <c r="H346" s="2"/>
      <c r="L346" s="2"/>
      <c r="M346" s="2"/>
      <c r="N346" s="2"/>
      <c r="O346" s="2"/>
      <c r="P346" s="2"/>
      <c r="Q346" s="2"/>
    </row>
    <row r="347" spans="1:17" ht="13.2">
      <c r="A347" s="42">
        <v>45789</v>
      </c>
      <c r="B347" s="21">
        <v>10</v>
      </c>
      <c r="C347" s="10" t="s">
        <v>22</v>
      </c>
      <c r="D347" s="10" t="s">
        <v>23</v>
      </c>
      <c r="E347" s="21" t="s">
        <v>263</v>
      </c>
      <c r="F347" s="21">
        <v>7</v>
      </c>
      <c r="G347" s="10">
        <f t="shared" si="6"/>
        <v>70</v>
      </c>
      <c r="H347" s="2"/>
      <c r="L347" s="2"/>
      <c r="M347" s="2"/>
      <c r="N347" s="2"/>
      <c r="O347" s="2"/>
      <c r="P347" s="2"/>
      <c r="Q347" s="2"/>
    </row>
    <row r="348" spans="1:17" ht="13.2">
      <c r="A348" s="42">
        <v>45789</v>
      </c>
      <c r="B348" s="21">
        <v>4</v>
      </c>
      <c r="C348" s="10" t="s">
        <v>33</v>
      </c>
      <c r="D348" s="10" t="s">
        <v>23</v>
      </c>
      <c r="E348" s="21" t="s">
        <v>264</v>
      </c>
      <c r="F348" s="21">
        <v>52</v>
      </c>
      <c r="G348" s="10">
        <f t="shared" si="6"/>
        <v>208</v>
      </c>
      <c r="H348" s="2"/>
      <c r="N348" s="2"/>
      <c r="O348" s="2"/>
      <c r="P348" s="2"/>
      <c r="Q348" s="2"/>
    </row>
    <row r="349" spans="1:17" ht="13.2">
      <c r="A349" s="42">
        <v>45789</v>
      </c>
      <c r="B349" s="21">
        <v>1</v>
      </c>
      <c r="C349" s="10" t="s">
        <v>40</v>
      </c>
      <c r="D349" s="10" t="s">
        <v>40</v>
      </c>
      <c r="E349" s="21" t="s">
        <v>247</v>
      </c>
      <c r="F349" s="21">
        <v>360</v>
      </c>
      <c r="G349" s="10">
        <f t="shared" si="6"/>
        <v>360</v>
      </c>
      <c r="H349" s="2"/>
      <c r="N349" s="2"/>
      <c r="O349" s="2"/>
      <c r="P349" s="2"/>
      <c r="Q349" s="2"/>
    </row>
    <row r="350" spans="1:17" ht="13.2">
      <c r="A350" s="42">
        <v>45790</v>
      </c>
      <c r="B350" s="21">
        <v>1</v>
      </c>
      <c r="C350" s="10" t="s">
        <v>40</v>
      </c>
      <c r="D350" s="10" t="s">
        <v>40</v>
      </c>
      <c r="E350" s="21" t="s">
        <v>87</v>
      </c>
      <c r="F350" s="21">
        <v>225</v>
      </c>
      <c r="G350" s="10">
        <f t="shared" si="6"/>
        <v>225</v>
      </c>
      <c r="H350" s="2"/>
      <c r="N350" s="2"/>
      <c r="O350" s="2"/>
      <c r="P350" s="2"/>
      <c r="Q350" s="2"/>
    </row>
    <row r="351" spans="1:17" ht="13.2">
      <c r="A351" s="42">
        <v>45790</v>
      </c>
      <c r="B351" s="21">
        <v>1</v>
      </c>
      <c r="C351" s="10" t="s">
        <v>31</v>
      </c>
      <c r="D351" s="10" t="s">
        <v>31</v>
      </c>
      <c r="E351" s="21" t="s">
        <v>265</v>
      </c>
      <c r="F351" s="21">
        <v>150</v>
      </c>
      <c r="G351" s="10">
        <f t="shared" si="6"/>
        <v>150</v>
      </c>
      <c r="H351" s="2"/>
      <c r="J351" s="2"/>
      <c r="K351" s="2"/>
      <c r="N351" s="2"/>
      <c r="O351" s="2"/>
      <c r="P351" s="2"/>
      <c r="Q351" s="2"/>
    </row>
    <row r="352" spans="1:17" ht="13.2">
      <c r="A352" s="42">
        <v>45791</v>
      </c>
      <c r="B352" s="21">
        <v>1</v>
      </c>
      <c r="C352" s="10" t="s">
        <v>31</v>
      </c>
      <c r="D352" s="10" t="s">
        <v>31</v>
      </c>
      <c r="E352" s="21" t="s">
        <v>3</v>
      </c>
      <c r="F352" s="21">
        <v>15</v>
      </c>
      <c r="G352" s="10">
        <f t="shared" si="6"/>
        <v>15</v>
      </c>
      <c r="H352" s="2"/>
      <c r="N352" s="2"/>
      <c r="O352" s="2"/>
      <c r="P352" s="2"/>
      <c r="Q352" s="2"/>
    </row>
    <row r="353" spans="1:22" ht="13.2">
      <c r="A353" s="42">
        <v>45791</v>
      </c>
      <c r="B353" s="21">
        <v>2</v>
      </c>
      <c r="C353" s="10" t="s">
        <v>25</v>
      </c>
      <c r="D353" s="10" t="s">
        <v>25</v>
      </c>
      <c r="E353" s="21" t="s">
        <v>266</v>
      </c>
      <c r="F353" s="21">
        <v>100</v>
      </c>
      <c r="G353" s="10">
        <f t="shared" si="6"/>
        <v>200</v>
      </c>
      <c r="H353" s="2"/>
      <c r="N353" s="2"/>
      <c r="O353" s="2"/>
      <c r="P353" s="2"/>
      <c r="Q353" s="2"/>
    </row>
    <row r="354" spans="1:22" ht="13.2">
      <c r="A354" s="158">
        <v>45792</v>
      </c>
      <c r="B354" s="23">
        <v>1</v>
      </c>
      <c r="C354" s="10" t="s">
        <v>60</v>
      </c>
      <c r="D354" s="10" t="s">
        <v>23</v>
      </c>
      <c r="E354" s="23" t="s">
        <v>160</v>
      </c>
      <c r="F354" s="23">
        <v>565</v>
      </c>
      <c r="G354" s="23">
        <f t="shared" si="6"/>
        <v>565</v>
      </c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</row>
    <row r="355" spans="1:22" ht="13.2">
      <c r="A355" s="158">
        <v>45792</v>
      </c>
      <c r="B355" s="23">
        <v>1</v>
      </c>
      <c r="C355" s="10" t="s">
        <v>60</v>
      </c>
      <c r="D355" s="10" t="s">
        <v>23</v>
      </c>
      <c r="E355" s="23" t="s">
        <v>165</v>
      </c>
      <c r="F355" s="23">
        <v>775</v>
      </c>
      <c r="G355" s="23">
        <f t="shared" si="6"/>
        <v>775</v>
      </c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</row>
    <row r="356" spans="1:22" ht="13.2">
      <c r="A356" s="158">
        <v>45792</v>
      </c>
      <c r="B356" s="23">
        <v>1</v>
      </c>
      <c r="C356" s="10" t="s">
        <v>60</v>
      </c>
      <c r="D356" s="10" t="s">
        <v>23</v>
      </c>
      <c r="E356" s="23" t="s">
        <v>201</v>
      </c>
      <c r="F356" s="23">
        <v>900</v>
      </c>
      <c r="G356" s="23">
        <f t="shared" si="6"/>
        <v>900</v>
      </c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</row>
    <row r="357" spans="1:22" ht="13.2">
      <c r="A357" s="42">
        <v>45793</v>
      </c>
      <c r="B357" s="19">
        <v>1</v>
      </c>
      <c r="C357" s="10" t="s">
        <v>60</v>
      </c>
      <c r="D357" s="10" t="s">
        <v>23</v>
      </c>
      <c r="E357" s="21" t="s">
        <v>267</v>
      </c>
      <c r="F357" s="21">
        <v>60</v>
      </c>
      <c r="G357" s="10">
        <f t="shared" si="6"/>
        <v>60</v>
      </c>
    </row>
    <row r="358" spans="1:22" ht="13.2">
      <c r="A358" s="42">
        <v>45793</v>
      </c>
      <c r="B358" s="19">
        <v>1</v>
      </c>
      <c r="C358" s="10" t="s">
        <v>60</v>
      </c>
      <c r="D358" s="10" t="s">
        <v>23</v>
      </c>
      <c r="E358" s="21" t="s">
        <v>225</v>
      </c>
      <c r="F358" s="21">
        <v>75</v>
      </c>
      <c r="G358" s="10">
        <f t="shared" si="6"/>
        <v>75</v>
      </c>
    </row>
    <row r="359" spans="1:22" ht="13.2">
      <c r="A359" s="42">
        <v>45793</v>
      </c>
      <c r="B359" s="21">
        <v>2</v>
      </c>
      <c r="C359" s="10" t="s">
        <v>25</v>
      </c>
      <c r="D359" s="10" t="s">
        <v>25</v>
      </c>
      <c r="E359" s="21" t="s">
        <v>266</v>
      </c>
      <c r="F359" s="21">
        <v>100</v>
      </c>
      <c r="G359" s="10">
        <f t="shared" si="6"/>
        <v>200</v>
      </c>
    </row>
    <row r="360" spans="1:22" ht="13.2">
      <c r="A360" s="158">
        <v>45795</v>
      </c>
      <c r="B360" s="23">
        <v>1</v>
      </c>
      <c r="C360" s="10" t="s">
        <v>31</v>
      </c>
      <c r="D360" s="23" t="s">
        <v>31</v>
      </c>
      <c r="E360" s="23" t="s">
        <v>174</v>
      </c>
      <c r="F360" s="23">
        <v>2550</v>
      </c>
      <c r="G360" s="23">
        <f t="shared" si="6"/>
        <v>2550</v>
      </c>
      <c r="H360" s="2"/>
      <c r="N360" s="2"/>
      <c r="O360" s="2"/>
      <c r="P360" s="2"/>
      <c r="Q360" s="2"/>
    </row>
    <row r="361" spans="1:22" ht="13.2">
      <c r="A361" s="42">
        <v>45796</v>
      </c>
      <c r="B361" s="10">
        <v>1</v>
      </c>
      <c r="C361" s="10" t="s">
        <v>40</v>
      </c>
      <c r="D361" s="10" t="s">
        <v>40</v>
      </c>
      <c r="E361" s="21" t="s">
        <v>173</v>
      </c>
      <c r="F361" s="21">
        <v>1335</v>
      </c>
      <c r="G361" s="10">
        <f t="shared" si="6"/>
        <v>1335</v>
      </c>
      <c r="H361" s="2"/>
      <c r="N361" s="2"/>
      <c r="O361" s="2"/>
      <c r="P361" s="2"/>
      <c r="Q361" s="2"/>
    </row>
    <row r="362" spans="1:22" ht="13.2">
      <c r="A362" s="42">
        <v>45796</v>
      </c>
      <c r="B362" s="10">
        <v>1</v>
      </c>
      <c r="C362" s="10" t="s">
        <v>40</v>
      </c>
      <c r="D362" s="10" t="s">
        <v>40</v>
      </c>
      <c r="E362" s="21" t="s">
        <v>181</v>
      </c>
      <c r="F362" s="21">
        <v>435</v>
      </c>
      <c r="G362" s="10">
        <f t="shared" si="6"/>
        <v>435</v>
      </c>
      <c r="H362" s="2"/>
      <c r="N362" s="2"/>
      <c r="O362" s="2"/>
      <c r="P362" s="2"/>
      <c r="Q362" s="2"/>
    </row>
    <row r="363" spans="1:22" ht="13.2">
      <c r="A363" s="42">
        <v>45796</v>
      </c>
      <c r="B363" s="10">
        <v>1</v>
      </c>
      <c r="C363" s="10" t="s">
        <v>40</v>
      </c>
      <c r="D363" s="10" t="s">
        <v>40</v>
      </c>
      <c r="E363" s="21" t="s">
        <v>87</v>
      </c>
      <c r="F363" s="21">
        <v>225</v>
      </c>
      <c r="G363" s="10">
        <f t="shared" si="6"/>
        <v>225</v>
      </c>
      <c r="H363" s="2"/>
      <c r="N363" s="2"/>
      <c r="O363" s="2"/>
      <c r="P363" s="2"/>
      <c r="Q363" s="2"/>
    </row>
    <row r="364" spans="1:22" ht="13.2">
      <c r="A364" s="42">
        <v>45796</v>
      </c>
      <c r="B364" s="10">
        <v>1</v>
      </c>
      <c r="C364" s="10" t="s">
        <v>40</v>
      </c>
      <c r="D364" s="10" t="s">
        <v>40</v>
      </c>
      <c r="E364" s="21" t="s">
        <v>268</v>
      </c>
      <c r="F364" s="21">
        <v>112.5</v>
      </c>
      <c r="G364" s="10">
        <f t="shared" si="6"/>
        <v>112.5</v>
      </c>
      <c r="H364" s="2"/>
      <c r="N364" s="2"/>
      <c r="O364" s="2"/>
      <c r="P364" s="2"/>
      <c r="Q364" s="2"/>
    </row>
    <row r="365" spans="1:22" ht="13.2">
      <c r="A365" s="42">
        <v>45796</v>
      </c>
      <c r="B365" s="10">
        <v>1</v>
      </c>
      <c r="C365" s="10" t="s">
        <v>40</v>
      </c>
      <c r="D365" s="10" t="s">
        <v>40</v>
      </c>
      <c r="E365" s="21" t="s">
        <v>269</v>
      </c>
      <c r="F365" s="21">
        <v>150</v>
      </c>
      <c r="G365" s="10">
        <f t="shared" si="6"/>
        <v>150</v>
      </c>
      <c r="H365" s="2"/>
      <c r="N365" s="2"/>
      <c r="O365" s="2"/>
      <c r="P365" s="2"/>
      <c r="Q365" s="2"/>
    </row>
    <row r="366" spans="1:22" ht="13.2">
      <c r="A366" s="42">
        <v>45796</v>
      </c>
      <c r="B366" s="10">
        <v>1</v>
      </c>
      <c r="C366" s="10" t="s">
        <v>31</v>
      </c>
      <c r="D366" s="10" t="s">
        <v>31</v>
      </c>
      <c r="E366" s="21" t="s">
        <v>270</v>
      </c>
      <c r="F366" s="21">
        <v>15</v>
      </c>
      <c r="G366" s="10">
        <f t="shared" si="6"/>
        <v>15</v>
      </c>
      <c r="H366" s="2"/>
      <c r="N366" s="2"/>
      <c r="O366" s="2"/>
      <c r="P366" s="2"/>
      <c r="Q366" s="2"/>
    </row>
    <row r="367" spans="1:22" ht="13.2">
      <c r="A367" s="42">
        <v>45798</v>
      </c>
      <c r="B367" s="10">
        <v>1</v>
      </c>
      <c r="C367" s="10" t="s">
        <v>31</v>
      </c>
      <c r="D367" s="10" t="s">
        <v>31</v>
      </c>
      <c r="E367" s="21" t="s">
        <v>4</v>
      </c>
      <c r="F367" s="21">
        <v>36.6</v>
      </c>
      <c r="G367" s="10">
        <f t="shared" si="6"/>
        <v>36.6</v>
      </c>
      <c r="H367" s="2"/>
      <c r="I367" s="2"/>
      <c r="N367" s="2"/>
      <c r="O367" s="2"/>
      <c r="P367" s="2"/>
      <c r="Q367" s="2"/>
    </row>
    <row r="368" spans="1:22" ht="13.2">
      <c r="A368" s="42">
        <v>45798</v>
      </c>
      <c r="B368" s="23">
        <v>1</v>
      </c>
      <c r="C368" s="10" t="s">
        <v>60</v>
      </c>
      <c r="D368" s="10" t="s">
        <v>23</v>
      </c>
      <c r="E368" s="23" t="s">
        <v>113</v>
      </c>
      <c r="F368" s="23">
        <v>60</v>
      </c>
      <c r="G368" s="23">
        <f t="shared" si="6"/>
        <v>60</v>
      </c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</row>
    <row r="369" spans="1:17" ht="13.2">
      <c r="A369" s="42">
        <v>45803</v>
      </c>
      <c r="B369" s="10">
        <v>1</v>
      </c>
      <c r="C369" s="10" t="s">
        <v>33</v>
      </c>
      <c r="D369" s="10" t="s">
        <v>23</v>
      </c>
      <c r="E369" s="21" t="s">
        <v>271</v>
      </c>
      <c r="F369" s="21">
        <v>140</v>
      </c>
      <c r="G369" s="10">
        <f t="shared" si="6"/>
        <v>140</v>
      </c>
      <c r="H369" s="2"/>
      <c r="I369" s="2"/>
      <c r="N369" s="2"/>
      <c r="O369" s="2"/>
      <c r="P369" s="2"/>
      <c r="Q369" s="2"/>
    </row>
    <row r="370" spans="1:17" ht="13.2">
      <c r="A370" s="42">
        <v>45803</v>
      </c>
      <c r="B370" s="10">
        <v>1</v>
      </c>
      <c r="C370" s="10" t="s">
        <v>40</v>
      </c>
      <c r="D370" s="10" t="s">
        <v>40</v>
      </c>
      <c r="E370" s="21" t="s">
        <v>221</v>
      </c>
      <c r="F370" s="21">
        <v>225</v>
      </c>
      <c r="G370" s="10">
        <f t="shared" si="6"/>
        <v>225</v>
      </c>
      <c r="H370" s="2"/>
      <c r="I370" s="2"/>
      <c r="N370" s="2"/>
      <c r="O370" s="2"/>
      <c r="P370" s="2"/>
      <c r="Q370" s="2"/>
    </row>
    <row r="371" spans="1:17" ht="13.2">
      <c r="A371" s="42">
        <v>45803</v>
      </c>
      <c r="B371" s="10">
        <v>1</v>
      </c>
      <c r="C371" s="10" t="s">
        <v>40</v>
      </c>
      <c r="D371" s="10" t="s">
        <v>40</v>
      </c>
      <c r="E371" s="21" t="s">
        <v>182</v>
      </c>
      <c r="F371" s="21">
        <v>337.5</v>
      </c>
      <c r="G371" s="10">
        <f t="shared" si="6"/>
        <v>337.5</v>
      </c>
      <c r="H371" s="2"/>
      <c r="I371" s="2"/>
      <c r="J371" s="19"/>
      <c r="N371" s="2"/>
      <c r="O371" s="2"/>
      <c r="P371" s="2"/>
      <c r="Q371" s="2"/>
    </row>
    <row r="372" spans="1:17" ht="13.2">
      <c r="A372" s="42">
        <v>45804</v>
      </c>
      <c r="B372" s="10">
        <v>8</v>
      </c>
      <c r="C372" s="10" t="s">
        <v>22</v>
      </c>
      <c r="D372" s="10" t="s">
        <v>23</v>
      </c>
      <c r="E372" s="21" t="s">
        <v>263</v>
      </c>
      <c r="F372" s="21">
        <v>7</v>
      </c>
      <c r="G372" s="10">
        <f t="shared" si="6"/>
        <v>56</v>
      </c>
      <c r="H372" s="2"/>
      <c r="I372" s="2"/>
      <c r="J372" s="2"/>
      <c r="N372" s="2"/>
      <c r="O372" s="2"/>
      <c r="P372" s="2"/>
      <c r="Q372" s="2"/>
    </row>
    <row r="373" spans="1:17" ht="13.2">
      <c r="A373" s="42">
        <v>45804</v>
      </c>
      <c r="B373" s="10">
        <v>1</v>
      </c>
      <c r="C373" s="10" t="s">
        <v>33</v>
      </c>
      <c r="D373" s="10" t="s">
        <v>23</v>
      </c>
      <c r="E373" s="19" t="s">
        <v>272</v>
      </c>
      <c r="F373" s="21">
        <v>20</v>
      </c>
      <c r="G373" s="10">
        <f t="shared" si="6"/>
        <v>20</v>
      </c>
      <c r="H373" s="2"/>
      <c r="I373" s="2"/>
      <c r="L373" s="2"/>
      <c r="M373" s="2"/>
      <c r="N373" s="2"/>
      <c r="O373" s="2"/>
      <c r="P373" s="2"/>
      <c r="Q373" s="2"/>
    </row>
    <row r="374" spans="1:17" ht="13.2">
      <c r="A374" s="42">
        <v>45804</v>
      </c>
      <c r="B374" s="10">
        <v>1</v>
      </c>
      <c r="C374" s="10" t="s">
        <v>22</v>
      </c>
      <c r="D374" s="10" t="s">
        <v>23</v>
      </c>
      <c r="E374" s="21" t="s">
        <v>273</v>
      </c>
      <c r="F374" s="21">
        <v>13</v>
      </c>
      <c r="G374" s="10">
        <f t="shared" si="6"/>
        <v>13</v>
      </c>
      <c r="H374" s="2"/>
      <c r="I374" s="2"/>
      <c r="N374" s="2"/>
      <c r="O374" s="2"/>
      <c r="P374" s="2"/>
      <c r="Q374" s="2"/>
    </row>
    <row r="375" spans="1:17" ht="13.2">
      <c r="A375" s="42">
        <v>45804</v>
      </c>
      <c r="B375" s="10">
        <v>2</v>
      </c>
      <c r="C375" s="10" t="s">
        <v>33</v>
      </c>
      <c r="D375" s="10" t="s">
        <v>23</v>
      </c>
      <c r="E375" s="21" t="s">
        <v>264</v>
      </c>
      <c r="F375" s="21">
        <v>52</v>
      </c>
      <c r="G375" s="10">
        <f t="shared" si="6"/>
        <v>104</v>
      </c>
      <c r="H375" s="2"/>
      <c r="I375" s="2"/>
      <c r="N375" s="2"/>
      <c r="O375" s="2"/>
      <c r="P375" s="2"/>
      <c r="Q375" s="2"/>
    </row>
    <row r="376" spans="1:17" ht="13.2">
      <c r="A376" s="42">
        <v>45804</v>
      </c>
      <c r="B376" s="10">
        <v>1</v>
      </c>
      <c r="C376" s="10" t="s">
        <v>33</v>
      </c>
      <c r="D376" s="10" t="s">
        <v>23</v>
      </c>
      <c r="E376" s="21" t="s">
        <v>274</v>
      </c>
      <c r="F376" s="21">
        <v>18</v>
      </c>
      <c r="G376" s="10">
        <f t="shared" si="6"/>
        <v>18</v>
      </c>
      <c r="H376" s="2"/>
      <c r="I376" s="2"/>
      <c r="J376" s="2"/>
      <c r="K376" s="2"/>
      <c r="N376" s="2"/>
      <c r="O376" s="2"/>
      <c r="P376" s="2"/>
      <c r="Q376" s="2"/>
    </row>
    <row r="377" spans="1:17" ht="13.2">
      <c r="A377" s="42">
        <v>45804</v>
      </c>
      <c r="B377" s="10">
        <v>2</v>
      </c>
      <c r="C377" s="10" t="s">
        <v>22</v>
      </c>
      <c r="D377" s="10" t="s">
        <v>23</v>
      </c>
      <c r="E377" s="21" t="s">
        <v>187</v>
      </c>
      <c r="F377" s="21">
        <v>19</v>
      </c>
      <c r="G377" s="10">
        <f t="shared" si="6"/>
        <v>38</v>
      </c>
      <c r="H377" s="2"/>
      <c r="I377" s="2"/>
      <c r="J377" s="2"/>
      <c r="K377" s="2"/>
      <c r="N377" s="2"/>
      <c r="O377" s="2"/>
      <c r="P377" s="2"/>
      <c r="Q377" s="2"/>
    </row>
    <row r="378" spans="1:17" ht="13.2">
      <c r="A378" s="42">
        <v>45804</v>
      </c>
      <c r="B378" s="10">
        <v>2</v>
      </c>
      <c r="C378" s="10" t="s">
        <v>22</v>
      </c>
      <c r="D378" s="10" t="s">
        <v>23</v>
      </c>
      <c r="E378" s="21" t="s">
        <v>188</v>
      </c>
      <c r="F378" s="21">
        <v>11</v>
      </c>
      <c r="G378" s="10">
        <f t="shared" si="6"/>
        <v>22</v>
      </c>
      <c r="H378" s="2"/>
      <c r="I378" s="27"/>
      <c r="J378" s="2"/>
      <c r="K378" s="2"/>
      <c r="N378" s="2"/>
      <c r="O378" s="2"/>
      <c r="P378" s="2"/>
      <c r="Q378" s="2"/>
    </row>
    <row r="379" spans="1:17" ht="13.2">
      <c r="A379" s="42">
        <v>45804</v>
      </c>
      <c r="B379" s="10">
        <v>3</v>
      </c>
      <c r="C379" s="10" t="s">
        <v>33</v>
      </c>
      <c r="D379" s="10" t="s">
        <v>23</v>
      </c>
      <c r="E379" s="21" t="s">
        <v>262</v>
      </c>
      <c r="F379" s="21">
        <v>12</v>
      </c>
      <c r="G379" s="10">
        <f t="shared" si="6"/>
        <v>36</v>
      </c>
      <c r="H379" s="2"/>
      <c r="I379" s="2"/>
      <c r="J379" s="2"/>
      <c r="K379" s="2"/>
      <c r="N379" s="2"/>
      <c r="O379" s="2"/>
      <c r="P379" s="2"/>
      <c r="Q379" s="2"/>
    </row>
    <row r="380" spans="1:17" ht="13.2">
      <c r="A380" s="42">
        <v>45804</v>
      </c>
      <c r="B380" s="10">
        <v>15</v>
      </c>
      <c r="C380" s="10" t="s">
        <v>33</v>
      </c>
      <c r="D380" s="10" t="s">
        <v>23</v>
      </c>
      <c r="E380" s="21" t="s">
        <v>275</v>
      </c>
      <c r="F380" s="21">
        <v>12</v>
      </c>
      <c r="G380" s="10">
        <f t="shared" si="6"/>
        <v>180</v>
      </c>
      <c r="H380" s="2"/>
      <c r="I380" s="2"/>
      <c r="J380" s="2"/>
      <c r="K380" s="2"/>
      <c r="N380" s="2"/>
      <c r="O380" s="2"/>
      <c r="P380" s="2"/>
      <c r="Q380" s="2"/>
    </row>
    <row r="381" spans="1:17" ht="13.2">
      <c r="A381" s="42">
        <v>45804</v>
      </c>
      <c r="B381" s="10">
        <v>2</v>
      </c>
      <c r="C381" s="10" t="s">
        <v>205</v>
      </c>
      <c r="D381" s="10" t="s">
        <v>23</v>
      </c>
      <c r="E381" s="21" t="s">
        <v>276</v>
      </c>
      <c r="F381" s="21">
        <v>9</v>
      </c>
      <c r="G381" s="10">
        <f t="shared" si="6"/>
        <v>18</v>
      </c>
      <c r="H381" s="2"/>
      <c r="I381" s="2"/>
      <c r="J381" s="2"/>
      <c r="K381" s="2"/>
      <c r="N381" s="2"/>
      <c r="O381" s="2"/>
      <c r="P381" s="2"/>
      <c r="Q381" s="2"/>
    </row>
    <row r="382" spans="1:17" ht="13.2">
      <c r="A382" s="42">
        <v>45804</v>
      </c>
      <c r="B382" s="10">
        <v>2</v>
      </c>
      <c r="C382" s="10" t="s">
        <v>33</v>
      </c>
      <c r="D382" s="10" t="s">
        <v>23</v>
      </c>
      <c r="E382" s="21" t="s">
        <v>277</v>
      </c>
      <c r="F382" s="21">
        <v>15</v>
      </c>
      <c r="G382" s="10">
        <f t="shared" si="6"/>
        <v>30</v>
      </c>
      <c r="H382" s="2"/>
      <c r="I382" s="2"/>
      <c r="J382" s="2"/>
      <c r="K382" s="2"/>
      <c r="N382" s="2"/>
      <c r="O382" s="2"/>
      <c r="P382" s="2"/>
      <c r="Q382" s="2"/>
    </row>
    <row r="383" spans="1:17" ht="13.2">
      <c r="A383" s="42">
        <v>45804</v>
      </c>
      <c r="B383" s="10">
        <v>3</v>
      </c>
      <c r="C383" s="10" t="s">
        <v>33</v>
      </c>
      <c r="D383" s="10" t="s">
        <v>23</v>
      </c>
      <c r="E383" s="21" t="s">
        <v>278</v>
      </c>
      <c r="F383" s="21">
        <v>12</v>
      </c>
      <c r="G383" s="10">
        <f t="shared" si="6"/>
        <v>36</v>
      </c>
      <c r="H383" s="2"/>
      <c r="I383" s="2"/>
      <c r="J383" s="2"/>
      <c r="K383" s="2"/>
      <c r="N383" s="2"/>
      <c r="O383" s="2"/>
      <c r="P383" s="2"/>
      <c r="Q383" s="2"/>
    </row>
    <row r="384" spans="1:17" ht="13.2">
      <c r="A384" s="42">
        <v>45804</v>
      </c>
      <c r="B384" s="10">
        <v>3</v>
      </c>
      <c r="C384" s="10" t="s">
        <v>205</v>
      </c>
      <c r="D384" s="10" t="s">
        <v>23</v>
      </c>
      <c r="E384" s="21" t="s">
        <v>279</v>
      </c>
      <c r="F384" s="21">
        <v>10</v>
      </c>
      <c r="G384" s="10">
        <f t="shared" si="6"/>
        <v>30</v>
      </c>
      <c r="H384" s="2"/>
      <c r="I384" s="2"/>
      <c r="J384" s="2"/>
      <c r="K384" s="2"/>
      <c r="N384" s="2"/>
      <c r="O384" s="2"/>
      <c r="P384" s="2"/>
      <c r="Q384" s="2"/>
    </row>
    <row r="385" spans="1:17" ht="13.2">
      <c r="A385" s="42">
        <v>45804</v>
      </c>
      <c r="B385" s="10">
        <v>5</v>
      </c>
      <c r="C385" s="10" t="s">
        <v>205</v>
      </c>
      <c r="D385" s="10" t="s">
        <v>23</v>
      </c>
      <c r="E385" s="21" t="s">
        <v>206</v>
      </c>
      <c r="F385" s="21">
        <v>6</v>
      </c>
      <c r="G385" s="10">
        <f t="shared" si="6"/>
        <v>30</v>
      </c>
      <c r="H385" s="2"/>
      <c r="I385" s="2"/>
      <c r="J385" s="2"/>
      <c r="K385" s="2"/>
      <c r="N385" s="2"/>
      <c r="O385" s="2"/>
      <c r="P385" s="2"/>
      <c r="Q385" s="2"/>
    </row>
    <row r="386" spans="1:17" ht="13.2">
      <c r="A386" s="42">
        <v>45804</v>
      </c>
      <c r="B386" s="10">
        <v>3</v>
      </c>
      <c r="C386" s="10" t="s">
        <v>33</v>
      </c>
      <c r="D386" s="10" t="s">
        <v>23</v>
      </c>
      <c r="E386" s="21" t="s">
        <v>207</v>
      </c>
      <c r="F386" s="21">
        <v>10</v>
      </c>
      <c r="G386" s="10">
        <f t="shared" si="6"/>
        <v>30</v>
      </c>
      <c r="H386" s="2"/>
      <c r="I386" s="10"/>
      <c r="J386" s="10"/>
      <c r="K386" s="2"/>
      <c r="N386" s="2"/>
      <c r="O386" s="2"/>
      <c r="P386" s="2"/>
      <c r="Q386" s="2"/>
    </row>
    <row r="387" spans="1:17" ht="13.2">
      <c r="A387" s="42">
        <v>45804</v>
      </c>
      <c r="B387" s="10">
        <v>1</v>
      </c>
      <c r="C387" s="10" t="s">
        <v>33</v>
      </c>
      <c r="D387" s="10" t="s">
        <v>23</v>
      </c>
      <c r="E387" s="21" t="s">
        <v>209</v>
      </c>
      <c r="F387" s="10">
        <v>12</v>
      </c>
      <c r="G387" s="10">
        <f t="shared" si="6"/>
        <v>12</v>
      </c>
      <c r="H387" s="2"/>
      <c r="I387" s="10"/>
      <c r="J387" s="10"/>
      <c r="K387" s="2"/>
      <c r="N387" s="2"/>
      <c r="O387" s="2"/>
      <c r="P387" s="2"/>
      <c r="Q387" s="2"/>
    </row>
    <row r="388" spans="1:17" ht="13.2">
      <c r="A388" s="42">
        <v>45804</v>
      </c>
      <c r="B388" s="10">
        <v>2</v>
      </c>
      <c r="C388" s="10" t="s">
        <v>22</v>
      </c>
      <c r="D388" s="10" t="s">
        <v>23</v>
      </c>
      <c r="E388" s="21" t="s">
        <v>258</v>
      </c>
      <c r="F388" s="10">
        <v>21</v>
      </c>
      <c r="G388" s="10">
        <f t="shared" si="6"/>
        <v>42</v>
      </c>
      <c r="H388" s="2"/>
      <c r="I388" s="10"/>
      <c r="J388" s="10"/>
      <c r="K388" s="2"/>
      <c r="L388" s="2"/>
      <c r="M388" s="2"/>
      <c r="N388" s="2"/>
      <c r="O388" s="2"/>
      <c r="P388" s="2"/>
      <c r="Q388" s="2"/>
    </row>
    <row r="389" spans="1:17" ht="13.2">
      <c r="A389" s="42">
        <v>45804</v>
      </c>
      <c r="B389" s="10">
        <v>1</v>
      </c>
      <c r="C389" s="10" t="s">
        <v>33</v>
      </c>
      <c r="D389" s="10" t="s">
        <v>23</v>
      </c>
      <c r="E389" s="10" t="s">
        <v>260</v>
      </c>
      <c r="F389" s="10">
        <v>40</v>
      </c>
      <c r="G389" s="10">
        <f t="shared" si="6"/>
        <v>40</v>
      </c>
      <c r="H389" s="2"/>
      <c r="I389" s="10"/>
      <c r="J389" s="10"/>
      <c r="K389" s="2"/>
      <c r="L389" s="2"/>
      <c r="M389" s="2"/>
      <c r="N389" s="2"/>
      <c r="O389" s="2"/>
      <c r="P389" s="2"/>
      <c r="Q389" s="2"/>
    </row>
    <row r="390" spans="1:17" ht="13.2">
      <c r="A390" s="42">
        <v>45806</v>
      </c>
      <c r="B390" s="10">
        <v>1</v>
      </c>
      <c r="C390" s="10" t="s">
        <v>33</v>
      </c>
      <c r="D390" s="10" t="s">
        <v>23</v>
      </c>
      <c r="E390" s="10" t="s">
        <v>281</v>
      </c>
      <c r="F390" s="10">
        <v>22.9</v>
      </c>
      <c r="G390" s="10">
        <f t="shared" si="6"/>
        <v>22.9</v>
      </c>
      <c r="H390" s="2"/>
      <c r="I390" s="10"/>
      <c r="J390" s="10"/>
      <c r="K390" s="2"/>
      <c r="L390" s="2"/>
      <c r="M390" s="2"/>
      <c r="N390" s="2"/>
      <c r="O390" s="2"/>
      <c r="P390" s="2"/>
      <c r="Q390" s="2"/>
    </row>
    <row r="391" spans="1:17" ht="13.2">
      <c r="A391" s="42">
        <v>45806</v>
      </c>
      <c r="B391" s="10">
        <v>12</v>
      </c>
      <c r="C391" s="10" t="s">
        <v>33</v>
      </c>
      <c r="D391" s="10" t="s">
        <v>23</v>
      </c>
      <c r="E391" s="10" t="s">
        <v>233</v>
      </c>
      <c r="F391" s="10">
        <v>14.6</v>
      </c>
      <c r="G391" s="10">
        <f t="shared" si="6"/>
        <v>175.2</v>
      </c>
      <c r="H391" s="2"/>
      <c r="I391" s="2"/>
      <c r="J391" s="2"/>
      <c r="K391" s="2"/>
      <c r="L391" s="2"/>
      <c r="M391" s="2"/>
      <c r="N391" s="2"/>
      <c r="O391" s="2"/>
      <c r="P391" s="2"/>
      <c r="Q391" s="2"/>
    </row>
    <row r="392" spans="1:17" ht="13.2">
      <c r="A392" s="42">
        <v>45806</v>
      </c>
      <c r="B392" s="10">
        <v>1</v>
      </c>
      <c r="C392" s="10" t="s">
        <v>123</v>
      </c>
      <c r="D392" s="10" t="s">
        <v>23</v>
      </c>
      <c r="E392" s="10" t="s">
        <v>282</v>
      </c>
      <c r="F392" s="10">
        <v>2191.3999999999996</v>
      </c>
      <c r="G392" s="10">
        <f t="shared" si="6"/>
        <v>2191.3999999999996</v>
      </c>
      <c r="H392" s="2"/>
      <c r="I392" s="2"/>
      <c r="J392" s="2"/>
      <c r="K392" s="2"/>
      <c r="L392" s="2"/>
      <c r="M392" s="2"/>
      <c r="N392" s="2"/>
      <c r="O392" s="2"/>
      <c r="P392" s="2"/>
      <c r="Q392" s="2"/>
    </row>
    <row r="393" spans="1:17" ht="13.2">
      <c r="A393" s="42">
        <v>45806</v>
      </c>
      <c r="B393" s="10">
        <v>1</v>
      </c>
      <c r="C393" s="10" t="s">
        <v>31</v>
      </c>
      <c r="D393" s="10" t="s">
        <v>31</v>
      </c>
      <c r="E393" s="10" t="s">
        <v>256</v>
      </c>
      <c r="F393" s="10">
        <v>165</v>
      </c>
      <c r="G393" s="10">
        <f t="shared" si="6"/>
        <v>165</v>
      </c>
      <c r="H393" s="2"/>
      <c r="I393" s="2"/>
      <c r="J393" s="2"/>
      <c r="K393" s="2"/>
      <c r="L393" s="2"/>
      <c r="M393" s="2"/>
      <c r="N393" s="2"/>
      <c r="O393" s="2"/>
      <c r="P393" s="2"/>
      <c r="Q393" s="2"/>
    </row>
    <row r="394" spans="1:17" ht="13.2">
      <c r="A394" s="42">
        <v>45807</v>
      </c>
      <c r="B394" s="10">
        <v>1</v>
      </c>
      <c r="C394" s="10" t="s">
        <v>40</v>
      </c>
      <c r="D394" s="10" t="s">
        <v>40</v>
      </c>
      <c r="E394" s="10" t="s">
        <v>84</v>
      </c>
      <c r="F394" s="10">
        <f>2227.64+411.23</f>
        <v>2638.87</v>
      </c>
      <c r="G394" s="10">
        <f t="shared" ref="G394:G403" si="7">F394*B394+(F394*B394*0.4)</f>
        <v>3694.4179999999997</v>
      </c>
      <c r="H394" s="27"/>
      <c r="I394" s="2"/>
      <c r="J394" s="2"/>
      <c r="K394" s="2"/>
      <c r="L394" s="2"/>
      <c r="M394" s="2"/>
      <c r="N394" s="2"/>
      <c r="O394" s="2"/>
      <c r="P394" s="2"/>
      <c r="Q394" s="2"/>
    </row>
    <row r="395" spans="1:17" ht="13.2">
      <c r="A395" s="42">
        <v>45807</v>
      </c>
      <c r="B395" s="10">
        <v>1</v>
      </c>
      <c r="C395" s="10" t="s">
        <v>33</v>
      </c>
      <c r="D395" s="10" t="s">
        <v>23</v>
      </c>
      <c r="E395" s="10" t="s">
        <v>84</v>
      </c>
      <c r="F395" s="10">
        <v>624.34</v>
      </c>
      <c r="G395" s="10">
        <f t="shared" si="7"/>
        <v>874.07600000000002</v>
      </c>
      <c r="H395" s="2"/>
      <c r="I395" s="2"/>
      <c r="J395" s="2"/>
      <c r="K395" s="2"/>
      <c r="L395" s="2"/>
      <c r="M395" s="2"/>
      <c r="N395" s="2"/>
      <c r="O395" s="2"/>
      <c r="P395" s="2"/>
      <c r="Q395" s="2"/>
    </row>
    <row r="396" spans="1:17" ht="13.2">
      <c r="A396" s="42">
        <v>45807</v>
      </c>
      <c r="B396" s="10">
        <v>1</v>
      </c>
      <c r="C396" s="10" t="s">
        <v>22</v>
      </c>
      <c r="D396" s="10" t="s">
        <v>23</v>
      </c>
      <c r="E396" s="10" t="s">
        <v>84</v>
      </c>
      <c r="F396" s="10">
        <v>838.9</v>
      </c>
      <c r="G396" s="10">
        <f t="shared" si="7"/>
        <v>1174.46</v>
      </c>
      <c r="H396" s="2"/>
      <c r="I396" s="2"/>
      <c r="J396" s="2"/>
      <c r="K396" s="2"/>
      <c r="L396" s="2"/>
      <c r="M396" s="2"/>
      <c r="N396" s="2"/>
      <c r="O396" s="2"/>
      <c r="P396" s="2"/>
      <c r="Q396" s="2"/>
    </row>
    <row r="397" spans="1:17" ht="13.2">
      <c r="A397" s="42">
        <v>45807</v>
      </c>
      <c r="B397" s="10">
        <v>1</v>
      </c>
      <c r="C397" s="10" t="s">
        <v>253</v>
      </c>
      <c r="D397" s="10" t="s">
        <v>23</v>
      </c>
      <c r="E397" s="10" t="s">
        <v>84</v>
      </c>
      <c r="F397" s="10">
        <f>685.13/2</f>
        <v>342.565</v>
      </c>
      <c r="G397" s="10">
        <f t="shared" si="7"/>
        <v>479.59100000000001</v>
      </c>
      <c r="H397" s="2"/>
      <c r="I397" s="2"/>
      <c r="K397" s="2"/>
      <c r="L397" s="2"/>
      <c r="M397" s="2"/>
      <c r="N397" s="2"/>
      <c r="O397" s="2"/>
      <c r="P397" s="2"/>
      <c r="Q397" s="2"/>
    </row>
    <row r="398" spans="1:17" ht="13.2">
      <c r="A398" s="42">
        <v>45807</v>
      </c>
      <c r="B398" s="10">
        <v>1</v>
      </c>
      <c r="C398" s="10" t="s">
        <v>35</v>
      </c>
      <c r="D398" s="10" t="s">
        <v>23</v>
      </c>
      <c r="E398" s="10" t="s">
        <v>84</v>
      </c>
      <c r="F398" s="10">
        <f>839.4/3</f>
        <v>279.8</v>
      </c>
      <c r="G398" s="10">
        <f t="shared" si="7"/>
        <v>391.72</v>
      </c>
      <c r="H398" s="2"/>
      <c r="I398" s="2"/>
      <c r="J398" s="2"/>
      <c r="K398" s="2"/>
      <c r="L398" s="2"/>
      <c r="M398" s="2"/>
      <c r="N398" s="2"/>
      <c r="O398" s="2"/>
      <c r="P398" s="2"/>
      <c r="Q398" s="2"/>
    </row>
    <row r="399" spans="1:17" ht="13.2">
      <c r="A399" s="42">
        <v>45807</v>
      </c>
      <c r="B399" s="10">
        <v>1</v>
      </c>
      <c r="C399" s="10" t="s">
        <v>283</v>
      </c>
      <c r="D399" s="10" t="s">
        <v>23</v>
      </c>
      <c r="E399" s="10" t="s">
        <v>84</v>
      </c>
      <c r="F399" s="10">
        <f>685.13/2</f>
        <v>342.565</v>
      </c>
      <c r="G399" s="10">
        <f t="shared" si="7"/>
        <v>479.59100000000001</v>
      </c>
      <c r="H399" s="2"/>
      <c r="I399" s="2"/>
      <c r="J399" s="2"/>
      <c r="K399" s="2"/>
      <c r="L399" s="2"/>
      <c r="M399" s="2"/>
      <c r="N399" s="2"/>
      <c r="O399" s="2"/>
      <c r="P399" s="2"/>
      <c r="Q399" s="2"/>
    </row>
    <row r="400" spans="1:17" ht="13.2">
      <c r="A400" s="42">
        <v>45807</v>
      </c>
      <c r="B400" s="10">
        <v>1</v>
      </c>
      <c r="C400" s="10" t="s">
        <v>205</v>
      </c>
      <c r="D400" s="10" t="s">
        <v>23</v>
      </c>
      <c r="E400" s="10" t="s">
        <v>84</v>
      </c>
      <c r="F400" s="10">
        <f>839.4/3</f>
        <v>279.8</v>
      </c>
      <c r="G400" s="10">
        <f t="shared" si="7"/>
        <v>391.72</v>
      </c>
      <c r="H400" s="2"/>
      <c r="I400" s="2"/>
      <c r="J400" s="2"/>
      <c r="K400" s="2"/>
      <c r="L400" s="2"/>
      <c r="M400" s="2"/>
      <c r="N400" s="2"/>
      <c r="O400" s="2"/>
      <c r="P400" s="2"/>
      <c r="Q400" s="2"/>
    </row>
    <row r="401" spans="1:17" ht="13.2">
      <c r="A401" s="42">
        <v>45807</v>
      </c>
      <c r="B401" s="10">
        <v>1</v>
      </c>
      <c r="C401" s="10" t="s">
        <v>252</v>
      </c>
      <c r="D401" s="10" t="s">
        <v>23</v>
      </c>
      <c r="E401" s="10" t="s">
        <v>84</v>
      </c>
      <c r="F401" s="10">
        <v>2630.93</v>
      </c>
      <c r="G401" s="10">
        <f t="shared" si="7"/>
        <v>3683.3019999999997</v>
      </c>
      <c r="H401" s="2"/>
      <c r="I401" s="2"/>
      <c r="J401" s="2"/>
      <c r="K401" s="2"/>
      <c r="L401" s="2"/>
      <c r="M401" s="2"/>
      <c r="N401" s="2"/>
      <c r="O401" s="2"/>
      <c r="P401" s="2"/>
      <c r="Q401" s="2"/>
    </row>
    <row r="402" spans="1:17" ht="13.2">
      <c r="A402" s="42">
        <v>45807</v>
      </c>
      <c r="B402" s="10">
        <v>1</v>
      </c>
      <c r="C402" s="10" t="s">
        <v>284</v>
      </c>
      <c r="D402" s="10" t="s">
        <v>23</v>
      </c>
      <c r="E402" s="10" t="s">
        <v>84</v>
      </c>
      <c r="F402" s="10">
        <f>839.4/3</f>
        <v>279.8</v>
      </c>
      <c r="G402" s="10">
        <f t="shared" si="7"/>
        <v>391.72</v>
      </c>
      <c r="H402" s="2"/>
      <c r="I402" s="2"/>
      <c r="J402" s="2"/>
      <c r="K402" s="2"/>
      <c r="L402" s="2"/>
      <c r="M402" s="2"/>
      <c r="N402" s="2"/>
      <c r="O402" s="2"/>
      <c r="P402" s="2"/>
      <c r="Q402" s="2"/>
    </row>
    <row r="403" spans="1:17" ht="13.2">
      <c r="A403" s="42">
        <v>45807</v>
      </c>
      <c r="B403" s="10">
        <v>1</v>
      </c>
      <c r="C403" s="10" t="s">
        <v>56</v>
      </c>
      <c r="D403" s="10" t="s">
        <v>56</v>
      </c>
      <c r="E403" s="10" t="s">
        <v>84</v>
      </c>
      <c r="F403" s="10">
        <v>402.3</v>
      </c>
      <c r="G403" s="10">
        <f t="shared" si="7"/>
        <v>563.22</v>
      </c>
      <c r="H403" s="2"/>
      <c r="I403" s="2"/>
      <c r="J403" s="2"/>
      <c r="K403" s="2"/>
      <c r="L403" s="2"/>
      <c r="M403" s="2"/>
      <c r="N403" s="2"/>
      <c r="O403" s="2"/>
      <c r="P403" s="2"/>
      <c r="Q403" s="2"/>
    </row>
    <row r="404" spans="1:17" ht="13.2">
      <c r="A404" s="42">
        <v>45807</v>
      </c>
      <c r="B404" s="10">
        <v>1</v>
      </c>
      <c r="C404" s="10" t="s">
        <v>193</v>
      </c>
      <c r="D404" s="10" t="s">
        <v>31</v>
      </c>
      <c r="E404" s="10" t="s">
        <v>50</v>
      </c>
      <c r="F404" s="10">
        <v>300</v>
      </c>
      <c r="G404" s="10">
        <f t="shared" ref="G404:G477" si="8">F404*B404</f>
        <v>300</v>
      </c>
      <c r="H404" s="2"/>
      <c r="I404" s="2"/>
      <c r="J404" s="2"/>
      <c r="K404" s="2"/>
      <c r="L404" s="2"/>
      <c r="M404" s="2"/>
      <c r="N404" s="2"/>
      <c r="O404" s="2"/>
      <c r="P404" s="2"/>
      <c r="Q404" s="2"/>
    </row>
    <row r="405" spans="1:17" ht="13.2">
      <c r="A405" s="42">
        <v>45807</v>
      </c>
      <c r="B405" s="10">
        <v>1</v>
      </c>
      <c r="C405" s="10" t="s">
        <v>193</v>
      </c>
      <c r="D405" s="10" t="s">
        <v>31</v>
      </c>
      <c r="E405" s="10" t="s">
        <v>51</v>
      </c>
      <c r="F405" s="10">
        <v>300</v>
      </c>
      <c r="G405" s="10">
        <f t="shared" si="8"/>
        <v>300</v>
      </c>
      <c r="H405" s="2"/>
      <c r="I405" s="2"/>
      <c r="J405" s="2"/>
      <c r="K405" s="2"/>
      <c r="L405" s="2"/>
      <c r="M405" s="2"/>
      <c r="N405" s="2"/>
      <c r="O405" s="2"/>
      <c r="P405" s="2"/>
      <c r="Q405" s="2"/>
    </row>
    <row r="406" spans="1:17" ht="13.2">
      <c r="A406" s="42">
        <v>45807</v>
      </c>
      <c r="B406" s="10">
        <v>1</v>
      </c>
      <c r="C406" s="10" t="s">
        <v>193</v>
      </c>
      <c r="D406" s="10" t="s">
        <v>31</v>
      </c>
      <c r="E406" s="10" t="s">
        <v>52</v>
      </c>
      <c r="F406" s="10">
        <v>100</v>
      </c>
      <c r="G406" s="10">
        <f t="shared" si="8"/>
        <v>100</v>
      </c>
      <c r="H406" s="2"/>
      <c r="I406" s="2"/>
      <c r="J406" s="2"/>
      <c r="K406" s="2"/>
      <c r="L406" s="2"/>
      <c r="M406" s="2"/>
      <c r="N406" s="2"/>
      <c r="O406" s="2"/>
      <c r="P406" s="2"/>
      <c r="Q406" s="2"/>
    </row>
    <row r="407" spans="1:17" ht="13.2">
      <c r="A407" s="42">
        <v>45807</v>
      </c>
      <c r="B407" s="10">
        <v>1</v>
      </c>
      <c r="C407" s="10" t="s">
        <v>193</v>
      </c>
      <c r="D407" s="10" t="s">
        <v>31</v>
      </c>
      <c r="E407" s="10" t="s">
        <v>53</v>
      </c>
      <c r="F407" s="10">
        <v>160</v>
      </c>
      <c r="G407" s="10">
        <f t="shared" si="8"/>
        <v>160</v>
      </c>
      <c r="H407" s="2"/>
      <c r="I407" s="2"/>
      <c r="J407" s="2"/>
      <c r="K407" s="2"/>
      <c r="L407" s="2"/>
      <c r="M407" s="2"/>
      <c r="N407" s="2"/>
      <c r="O407" s="2"/>
      <c r="P407" s="2"/>
      <c r="Q407" s="2"/>
    </row>
    <row r="408" spans="1:17" ht="13.2">
      <c r="A408" s="42">
        <v>45807</v>
      </c>
      <c r="B408" s="10">
        <v>1</v>
      </c>
      <c r="C408" s="10" t="s">
        <v>193</v>
      </c>
      <c r="D408" s="10" t="s">
        <v>31</v>
      </c>
      <c r="E408" s="10" t="s">
        <v>54</v>
      </c>
      <c r="F408" s="10">
        <v>100</v>
      </c>
      <c r="G408" s="10">
        <f t="shared" si="8"/>
        <v>100</v>
      </c>
      <c r="H408" s="2"/>
      <c r="I408" s="2"/>
      <c r="J408" s="2"/>
      <c r="K408" s="2"/>
      <c r="L408" s="2"/>
      <c r="M408" s="2"/>
      <c r="N408" s="2"/>
      <c r="O408" s="2"/>
      <c r="P408" s="2"/>
      <c r="Q408" s="2"/>
    </row>
    <row r="409" spans="1:17" ht="13.2">
      <c r="A409" s="42">
        <v>45807</v>
      </c>
      <c r="B409" s="10">
        <v>1</v>
      </c>
      <c r="C409" s="10" t="s">
        <v>79</v>
      </c>
      <c r="D409" s="10" t="s">
        <v>31</v>
      </c>
      <c r="E409" s="10" t="s">
        <v>198</v>
      </c>
      <c r="F409" s="21">
        <v>1798.61</v>
      </c>
      <c r="G409" s="10">
        <f t="shared" si="8"/>
        <v>1798.61</v>
      </c>
      <c r="H409" s="2"/>
      <c r="I409" s="2"/>
      <c r="J409" s="2"/>
      <c r="K409" s="2"/>
      <c r="L409" s="2"/>
      <c r="M409" s="2"/>
      <c r="N409" s="2"/>
      <c r="O409" s="2"/>
      <c r="P409" s="2"/>
      <c r="Q409" s="2"/>
    </row>
    <row r="410" spans="1:17" ht="13.2">
      <c r="A410" s="42">
        <v>45807</v>
      </c>
      <c r="B410" s="10">
        <v>1</v>
      </c>
      <c r="C410" s="10" t="s">
        <v>79</v>
      </c>
      <c r="D410" s="10" t="s">
        <v>31</v>
      </c>
      <c r="E410" s="10" t="s">
        <v>250</v>
      </c>
      <c r="F410" s="21">
        <v>1642.51</v>
      </c>
      <c r="G410" s="10">
        <f t="shared" si="8"/>
        <v>1642.51</v>
      </c>
      <c r="H410" s="2"/>
      <c r="I410" s="2"/>
      <c r="J410" s="2"/>
      <c r="K410" s="2"/>
      <c r="L410" s="2"/>
      <c r="M410" s="2"/>
      <c r="N410" s="2"/>
      <c r="O410" s="2"/>
      <c r="P410" s="2"/>
      <c r="Q410" s="2"/>
    </row>
    <row r="411" spans="1:17" ht="13.2">
      <c r="A411" s="42">
        <v>45807</v>
      </c>
      <c r="B411" s="10">
        <v>1</v>
      </c>
      <c r="C411" s="10" t="s">
        <v>79</v>
      </c>
      <c r="D411" s="10" t="s">
        <v>31</v>
      </c>
      <c r="E411" s="10" t="s">
        <v>285</v>
      </c>
      <c r="F411" s="21">
        <v>559.42999999999995</v>
      </c>
      <c r="G411" s="10">
        <f t="shared" si="8"/>
        <v>559.42999999999995</v>
      </c>
      <c r="H411" s="2"/>
      <c r="I411" s="2"/>
      <c r="J411" s="2"/>
      <c r="K411" s="2"/>
      <c r="L411" s="2"/>
      <c r="M411" s="2"/>
      <c r="N411" s="2"/>
      <c r="O411" s="2"/>
      <c r="P411" s="2"/>
      <c r="Q411" s="2"/>
    </row>
    <row r="412" spans="1:17" ht="13.2">
      <c r="A412" s="42">
        <v>45807</v>
      </c>
      <c r="B412" s="10">
        <v>1</v>
      </c>
      <c r="C412" s="10" t="s">
        <v>79</v>
      </c>
      <c r="D412" s="10" t="s">
        <v>31</v>
      </c>
      <c r="E412" s="10" t="s">
        <v>286</v>
      </c>
      <c r="F412" s="21">
        <v>660.36</v>
      </c>
      <c r="G412" s="10">
        <f t="shared" si="8"/>
        <v>660.36</v>
      </c>
      <c r="H412" s="2"/>
      <c r="I412" s="2"/>
      <c r="J412" s="2"/>
      <c r="K412" s="2"/>
      <c r="L412" s="2"/>
      <c r="M412" s="2"/>
      <c r="N412" s="2"/>
      <c r="O412" s="2"/>
      <c r="P412" s="2"/>
      <c r="Q412" s="2"/>
    </row>
    <row r="413" spans="1:17" ht="13.2">
      <c r="A413" s="42">
        <v>45807</v>
      </c>
      <c r="B413" s="10">
        <v>1</v>
      </c>
      <c r="C413" s="10" t="s">
        <v>60</v>
      </c>
      <c r="D413" s="10" t="s">
        <v>23</v>
      </c>
      <c r="E413" s="21" t="s">
        <v>160</v>
      </c>
      <c r="F413" s="21">
        <v>470.27</v>
      </c>
      <c r="G413" s="10">
        <f t="shared" si="8"/>
        <v>470.27</v>
      </c>
      <c r="H413" s="2"/>
      <c r="I413" s="2"/>
      <c r="J413" s="2"/>
      <c r="K413" s="2"/>
      <c r="L413" s="2"/>
      <c r="M413" s="2"/>
      <c r="N413" s="2"/>
      <c r="O413" s="2"/>
      <c r="P413" s="2"/>
      <c r="Q413" s="2"/>
    </row>
    <row r="414" spans="1:17" ht="13.2">
      <c r="A414" s="42">
        <v>45807</v>
      </c>
      <c r="B414" s="10">
        <v>1</v>
      </c>
      <c r="C414" s="10" t="s">
        <v>60</v>
      </c>
      <c r="D414" s="10" t="s">
        <v>23</v>
      </c>
      <c r="E414" s="21" t="s">
        <v>165</v>
      </c>
      <c r="F414" s="21">
        <v>368.81</v>
      </c>
      <c r="G414" s="10">
        <f t="shared" si="8"/>
        <v>368.81</v>
      </c>
      <c r="H414" s="2"/>
      <c r="I414" s="2"/>
      <c r="J414" s="2"/>
      <c r="K414" s="2"/>
      <c r="L414" s="2"/>
      <c r="M414" s="2"/>
      <c r="N414" s="2"/>
      <c r="O414" s="2"/>
      <c r="P414" s="2"/>
      <c r="Q414" s="2"/>
    </row>
    <row r="415" spans="1:17" ht="13.2">
      <c r="A415" s="42">
        <v>45807</v>
      </c>
      <c r="B415" s="10">
        <v>1</v>
      </c>
      <c r="C415" s="10" t="s">
        <v>60</v>
      </c>
      <c r="D415" s="10" t="s">
        <v>23</v>
      </c>
      <c r="E415" s="21" t="s">
        <v>201</v>
      </c>
      <c r="F415" s="21">
        <v>715.6</v>
      </c>
      <c r="G415" s="10">
        <f t="shared" si="8"/>
        <v>715.6</v>
      </c>
      <c r="H415" s="2"/>
      <c r="I415" s="2"/>
      <c r="J415" s="2"/>
      <c r="K415" s="2"/>
      <c r="L415" s="2"/>
      <c r="M415" s="2"/>
      <c r="N415" s="2"/>
      <c r="O415" s="2"/>
      <c r="P415" s="2"/>
      <c r="Q415" s="2"/>
    </row>
    <row r="416" spans="1:17" ht="13.2">
      <c r="A416" s="42">
        <v>45807</v>
      </c>
      <c r="B416" s="10">
        <v>1</v>
      </c>
      <c r="C416" s="10" t="s">
        <v>55</v>
      </c>
      <c r="D416" s="10" t="s">
        <v>31</v>
      </c>
      <c r="E416" s="10" t="s">
        <v>202</v>
      </c>
      <c r="F416" s="21">
        <v>1596.52</v>
      </c>
      <c r="G416" s="10">
        <f t="shared" si="8"/>
        <v>1596.52</v>
      </c>
      <c r="H416" s="2"/>
      <c r="I416" s="2"/>
      <c r="J416" s="2"/>
      <c r="K416" s="2"/>
      <c r="L416" s="2"/>
      <c r="M416" s="2"/>
      <c r="N416" s="2"/>
      <c r="O416" s="2"/>
      <c r="P416" s="2"/>
      <c r="Q416" s="2"/>
    </row>
    <row r="417" spans="1:17" ht="13.2">
      <c r="A417" s="42">
        <v>45807</v>
      </c>
      <c r="B417" s="10">
        <v>1</v>
      </c>
      <c r="C417" s="10" t="s">
        <v>55</v>
      </c>
      <c r="D417" s="10" t="s">
        <v>31</v>
      </c>
      <c r="E417" s="10" t="s">
        <v>196</v>
      </c>
      <c r="F417" s="21">
        <v>1412.15</v>
      </c>
      <c r="G417" s="10">
        <f t="shared" si="8"/>
        <v>1412.15</v>
      </c>
      <c r="H417" s="2"/>
      <c r="I417" s="2"/>
      <c r="J417" s="2"/>
      <c r="K417" s="2"/>
      <c r="L417" s="2"/>
      <c r="M417" s="2"/>
      <c r="N417" s="2"/>
      <c r="O417" s="2"/>
      <c r="P417" s="2"/>
      <c r="Q417" s="2"/>
    </row>
    <row r="418" spans="1:17" ht="13.2">
      <c r="A418" s="42">
        <v>45807</v>
      </c>
      <c r="B418" s="10">
        <v>1</v>
      </c>
      <c r="C418" s="10" t="s">
        <v>55</v>
      </c>
      <c r="D418" s="10" t="s">
        <v>31</v>
      </c>
      <c r="E418" s="10" t="s">
        <v>197</v>
      </c>
      <c r="F418" s="21">
        <v>1090.27</v>
      </c>
      <c r="G418" s="10">
        <f t="shared" si="8"/>
        <v>1090.27</v>
      </c>
      <c r="H418" s="2"/>
      <c r="I418" s="2"/>
      <c r="J418" s="2"/>
      <c r="K418" s="2"/>
      <c r="L418" s="2"/>
      <c r="M418" s="2"/>
      <c r="N418" s="2"/>
      <c r="O418" s="2"/>
      <c r="P418" s="2"/>
      <c r="Q418" s="2"/>
    </row>
    <row r="419" spans="1:17" ht="13.2">
      <c r="A419" s="42">
        <v>45807</v>
      </c>
      <c r="B419" s="10">
        <v>1</v>
      </c>
      <c r="C419" s="10" t="s">
        <v>55</v>
      </c>
      <c r="D419" s="10" t="s">
        <v>56</v>
      </c>
      <c r="E419" s="10" t="s">
        <v>251</v>
      </c>
      <c r="F419" s="21">
        <v>675.19</v>
      </c>
      <c r="G419" s="10">
        <f t="shared" si="8"/>
        <v>675.19</v>
      </c>
      <c r="H419" s="2"/>
      <c r="I419" s="2"/>
      <c r="J419" s="2"/>
      <c r="K419" s="2"/>
      <c r="L419" s="2"/>
      <c r="M419" s="2"/>
      <c r="N419" s="2"/>
      <c r="O419" s="2"/>
      <c r="P419" s="2"/>
      <c r="Q419" s="2"/>
    </row>
    <row r="420" spans="1:17" ht="13.2">
      <c r="A420" s="42">
        <v>45807</v>
      </c>
      <c r="B420" s="10">
        <v>1</v>
      </c>
      <c r="C420" s="10" t="s">
        <v>31</v>
      </c>
      <c r="D420" s="10" t="s">
        <v>31</v>
      </c>
      <c r="E420" s="10" t="s">
        <v>122</v>
      </c>
      <c r="F420" s="21">
        <v>10000</v>
      </c>
      <c r="G420" s="10">
        <f t="shared" si="8"/>
        <v>10000</v>
      </c>
      <c r="H420" s="2"/>
      <c r="I420" s="2"/>
      <c r="J420" s="2"/>
      <c r="K420" s="2"/>
      <c r="L420" s="2"/>
      <c r="M420" s="2"/>
      <c r="N420" s="2"/>
      <c r="O420" s="2"/>
      <c r="P420" s="2"/>
      <c r="Q420" s="2"/>
    </row>
    <row r="421" spans="1:17" ht="13.2">
      <c r="A421" s="42">
        <v>45807</v>
      </c>
      <c r="B421" s="10">
        <v>1</v>
      </c>
      <c r="C421" s="10" t="s">
        <v>40</v>
      </c>
      <c r="D421" s="10" t="s">
        <v>40</v>
      </c>
      <c r="E421" s="10" t="s">
        <v>116</v>
      </c>
      <c r="F421" s="21">
        <v>40</v>
      </c>
      <c r="G421" s="10">
        <f t="shared" si="8"/>
        <v>40</v>
      </c>
      <c r="H421" s="2"/>
      <c r="I421" s="2"/>
      <c r="J421" s="2"/>
      <c r="K421" s="2"/>
      <c r="L421" s="2"/>
      <c r="M421" s="2"/>
      <c r="N421" s="2"/>
      <c r="O421" s="2"/>
      <c r="P421" s="2"/>
      <c r="Q421" s="2"/>
    </row>
    <row r="422" spans="1:17" ht="13.2">
      <c r="A422" s="42">
        <v>45807</v>
      </c>
      <c r="B422" s="10">
        <v>1</v>
      </c>
      <c r="C422" s="10" t="s">
        <v>31</v>
      </c>
      <c r="D422" s="10" t="s">
        <v>31</v>
      </c>
      <c r="E422" s="10" t="s">
        <v>117</v>
      </c>
      <c r="F422" s="21">
        <v>650</v>
      </c>
      <c r="G422" s="10">
        <f t="shared" si="8"/>
        <v>650</v>
      </c>
      <c r="H422" s="2"/>
      <c r="I422" s="2"/>
      <c r="J422" s="2"/>
      <c r="K422" s="2"/>
      <c r="L422" s="2"/>
      <c r="M422" s="2"/>
      <c r="N422" s="2"/>
      <c r="O422" s="2"/>
      <c r="P422" s="2"/>
      <c r="Q422" s="2"/>
    </row>
    <row r="423" spans="1:17" ht="13.2">
      <c r="A423" s="42">
        <v>45807</v>
      </c>
      <c r="B423" s="10">
        <v>2</v>
      </c>
      <c r="C423" s="10" t="s">
        <v>254</v>
      </c>
      <c r="D423" s="10" t="s">
        <v>31</v>
      </c>
      <c r="E423" s="10" t="s">
        <v>118</v>
      </c>
      <c r="F423" s="21">
        <v>146</v>
      </c>
      <c r="G423" s="10">
        <f t="shared" si="8"/>
        <v>292</v>
      </c>
      <c r="H423" s="2"/>
      <c r="I423" s="2"/>
      <c r="J423" s="2"/>
      <c r="K423" s="2"/>
      <c r="L423" s="2"/>
      <c r="M423" s="2"/>
      <c r="N423" s="2"/>
      <c r="O423" s="2"/>
      <c r="P423" s="2"/>
      <c r="Q423" s="2"/>
    </row>
    <row r="424" spans="1:17" ht="13.2">
      <c r="A424" s="42">
        <v>45807</v>
      </c>
      <c r="B424" s="10">
        <v>1</v>
      </c>
      <c r="C424" s="10" t="s">
        <v>31</v>
      </c>
      <c r="D424" s="10" t="s">
        <v>31</v>
      </c>
      <c r="E424" s="10" t="s">
        <v>119</v>
      </c>
      <c r="F424" s="21">
        <v>430</v>
      </c>
      <c r="G424" s="10">
        <f t="shared" si="8"/>
        <v>430</v>
      </c>
      <c r="H424" s="2"/>
      <c r="I424" s="2"/>
      <c r="J424" s="2"/>
      <c r="K424" s="2"/>
      <c r="L424" s="2"/>
      <c r="M424" s="2"/>
      <c r="N424" s="2"/>
      <c r="O424" s="2"/>
      <c r="P424" s="2"/>
      <c r="Q424" s="2"/>
    </row>
    <row r="425" spans="1:17" ht="13.2">
      <c r="A425" s="42">
        <v>45807</v>
      </c>
      <c r="B425" s="10">
        <v>1</v>
      </c>
      <c r="C425" s="10" t="s">
        <v>194</v>
      </c>
      <c r="D425" s="10" t="s">
        <v>31</v>
      </c>
      <c r="E425" s="10" t="s">
        <v>120</v>
      </c>
      <c r="F425" s="21">
        <v>80</v>
      </c>
      <c r="G425" s="10">
        <f t="shared" si="8"/>
        <v>80</v>
      </c>
      <c r="H425" s="2"/>
      <c r="I425" s="2"/>
      <c r="J425" s="2"/>
      <c r="K425" s="2"/>
      <c r="L425" s="2"/>
      <c r="M425" s="2"/>
      <c r="N425" s="2"/>
      <c r="O425" s="2"/>
      <c r="P425" s="2"/>
      <c r="Q425" s="2"/>
    </row>
    <row r="426" spans="1:17" ht="13.2">
      <c r="A426" s="42">
        <v>45807</v>
      </c>
      <c r="B426" s="10">
        <v>2</v>
      </c>
      <c r="C426" s="10" t="s">
        <v>194</v>
      </c>
      <c r="D426" s="10" t="s">
        <v>31</v>
      </c>
      <c r="E426" s="10" t="s">
        <v>121</v>
      </c>
      <c r="F426" s="21">
        <v>74</v>
      </c>
      <c r="G426" s="10">
        <f t="shared" si="8"/>
        <v>148</v>
      </c>
      <c r="H426" s="2"/>
      <c r="I426" s="2"/>
      <c r="J426" s="2"/>
      <c r="K426" s="2"/>
      <c r="L426" s="2"/>
      <c r="M426" s="2"/>
      <c r="N426" s="2"/>
      <c r="O426" s="2"/>
      <c r="P426" s="2"/>
      <c r="Q426" s="2"/>
    </row>
    <row r="427" spans="1:17" ht="13.2">
      <c r="A427" s="42">
        <v>45807</v>
      </c>
      <c r="B427" s="10">
        <v>1</v>
      </c>
      <c r="C427" s="10" t="s">
        <v>194</v>
      </c>
      <c r="D427" s="10" t="s">
        <v>31</v>
      </c>
      <c r="E427" s="10" t="s">
        <v>287</v>
      </c>
      <c r="F427" s="21">
        <v>80</v>
      </c>
      <c r="G427" s="10">
        <f t="shared" si="8"/>
        <v>80</v>
      </c>
      <c r="H427" s="2"/>
      <c r="I427" s="2"/>
      <c r="J427" s="2"/>
      <c r="K427" s="2"/>
      <c r="L427" s="2"/>
      <c r="M427" s="2"/>
      <c r="N427" s="2"/>
      <c r="O427" s="2"/>
      <c r="P427" s="2"/>
      <c r="Q427" s="2"/>
    </row>
    <row r="428" spans="1:17" ht="13.2">
      <c r="A428" s="42">
        <v>45807</v>
      </c>
      <c r="B428" s="10">
        <v>5</v>
      </c>
      <c r="C428" s="10" t="s">
        <v>288</v>
      </c>
      <c r="D428" s="10" t="s">
        <v>31</v>
      </c>
      <c r="E428" s="10" t="s">
        <v>48</v>
      </c>
      <c r="F428" s="21">
        <v>128.47999999999999</v>
      </c>
      <c r="G428" s="10">
        <f t="shared" si="8"/>
        <v>642.4</v>
      </c>
      <c r="H428" s="2"/>
      <c r="I428" s="2"/>
      <c r="J428" s="2"/>
      <c r="K428" s="2"/>
      <c r="L428" s="2"/>
      <c r="M428" s="2"/>
      <c r="N428" s="2"/>
      <c r="O428" s="2"/>
      <c r="P428" s="2"/>
      <c r="Q428" s="2"/>
    </row>
    <row r="429" spans="1:17" ht="13.2">
      <c r="A429" s="42">
        <v>45807</v>
      </c>
      <c r="B429" s="10">
        <v>1</v>
      </c>
      <c r="C429" s="10" t="s">
        <v>288</v>
      </c>
      <c r="D429" s="10" t="s">
        <v>31</v>
      </c>
      <c r="E429" s="10" t="s">
        <v>49</v>
      </c>
      <c r="F429" s="21">
        <v>146.9</v>
      </c>
      <c r="G429" s="10">
        <f t="shared" si="8"/>
        <v>146.9</v>
      </c>
      <c r="H429" s="2"/>
      <c r="I429" s="2"/>
      <c r="J429" s="2"/>
      <c r="K429" s="2"/>
      <c r="L429" s="2"/>
      <c r="M429" s="2"/>
      <c r="N429" s="2"/>
      <c r="O429" s="2"/>
      <c r="P429" s="2"/>
      <c r="Q429" s="2"/>
    </row>
    <row r="430" spans="1:17" ht="13.2">
      <c r="A430" s="42">
        <v>45807</v>
      </c>
      <c r="B430" s="10">
        <v>1</v>
      </c>
      <c r="C430" s="10" t="s">
        <v>254</v>
      </c>
      <c r="D430" s="10" t="s">
        <v>31</v>
      </c>
      <c r="E430" s="10" t="s">
        <v>289</v>
      </c>
      <c r="F430" s="21">
        <v>80</v>
      </c>
      <c r="G430" s="10">
        <f t="shared" si="8"/>
        <v>80</v>
      </c>
      <c r="H430" s="2"/>
      <c r="I430" s="2"/>
      <c r="J430" s="2"/>
      <c r="K430" s="2"/>
      <c r="L430" s="2"/>
      <c r="M430" s="2"/>
      <c r="N430" s="2"/>
      <c r="O430" s="2"/>
      <c r="P430" s="2"/>
      <c r="Q430" s="2"/>
    </row>
    <row r="431" spans="1:17" ht="13.2">
      <c r="A431" s="42">
        <v>45807</v>
      </c>
      <c r="B431" s="10">
        <v>1</v>
      </c>
      <c r="C431" s="10" t="s">
        <v>254</v>
      </c>
      <c r="D431" s="10" t="s">
        <v>31</v>
      </c>
      <c r="E431" s="10" t="s">
        <v>290</v>
      </c>
      <c r="F431" s="21">
        <v>40</v>
      </c>
      <c r="G431" s="10">
        <f t="shared" si="8"/>
        <v>40</v>
      </c>
      <c r="H431" s="2"/>
      <c r="I431" s="2"/>
      <c r="J431" s="2"/>
      <c r="K431" s="2"/>
      <c r="L431" s="2"/>
      <c r="M431" s="2"/>
      <c r="N431" s="2"/>
      <c r="O431" s="2"/>
      <c r="P431" s="2"/>
      <c r="Q431" s="2"/>
    </row>
    <row r="432" spans="1:17" ht="13.2">
      <c r="A432" s="42">
        <v>45807</v>
      </c>
      <c r="B432" s="10">
        <v>1</v>
      </c>
      <c r="C432" s="10" t="s">
        <v>27</v>
      </c>
      <c r="D432" s="10" t="s">
        <v>27</v>
      </c>
      <c r="E432" s="21" t="s">
        <v>64</v>
      </c>
      <c r="F432" s="21">
        <v>195</v>
      </c>
      <c r="G432" s="10">
        <f t="shared" si="8"/>
        <v>195</v>
      </c>
      <c r="H432" s="2"/>
      <c r="I432" s="2"/>
      <c r="J432" s="2"/>
      <c r="K432" s="2"/>
      <c r="L432" s="2"/>
      <c r="M432" s="2"/>
      <c r="N432" s="2"/>
      <c r="O432" s="2"/>
      <c r="P432" s="2"/>
      <c r="Q432" s="2"/>
    </row>
    <row r="433" spans="1:17" ht="13.2">
      <c r="A433" s="42">
        <v>45808</v>
      </c>
      <c r="B433" s="10">
        <v>1</v>
      </c>
      <c r="C433" s="10" t="s">
        <v>60</v>
      </c>
      <c r="D433" s="10" t="s">
        <v>23</v>
      </c>
      <c r="E433" s="10" t="s">
        <v>225</v>
      </c>
      <c r="F433" s="21">
        <v>70</v>
      </c>
      <c r="G433" s="10">
        <f t="shared" si="8"/>
        <v>70</v>
      </c>
      <c r="H433" s="2"/>
      <c r="I433" s="2"/>
      <c r="J433" s="2"/>
      <c r="K433" s="2"/>
      <c r="L433" s="2"/>
      <c r="M433" s="2"/>
      <c r="N433" s="2"/>
      <c r="O433" s="2"/>
      <c r="P433" s="2"/>
      <c r="Q433" s="2"/>
    </row>
    <row r="434" spans="1:17" ht="13.2">
      <c r="A434" s="42">
        <v>45810</v>
      </c>
      <c r="B434" s="10">
        <v>2</v>
      </c>
      <c r="C434" s="10" t="s">
        <v>25</v>
      </c>
      <c r="D434" s="10" t="s">
        <v>25</v>
      </c>
      <c r="E434" s="10" t="s">
        <v>291</v>
      </c>
      <c r="F434" s="21">
        <v>1100</v>
      </c>
      <c r="G434" s="10">
        <f t="shared" si="8"/>
        <v>2200</v>
      </c>
      <c r="H434" s="2"/>
      <c r="I434" s="2"/>
      <c r="J434" s="2"/>
      <c r="K434" s="2"/>
      <c r="L434" s="2"/>
      <c r="M434" s="2"/>
      <c r="N434" s="2"/>
      <c r="O434" s="2"/>
      <c r="P434" s="2"/>
      <c r="Q434" s="2"/>
    </row>
    <row r="435" spans="1:17" ht="13.2">
      <c r="A435" s="42">
        <v>45811</v>
      </c>
      <c r="B435" s="10">
        <v>5</v>
      </c>
      <c r="C435" s="10" t="s">
        <v>33</v>
      </c>
      <c r="D435" s="10" t="s">
        <v>23</v>
      </c>
      <c r="E435" s="10" t="s">
        <v>233</v>
      </c>
      <c r="F435" s="21">
        <v>29.9</v>
      </c>
      <c r="G435" s="10">
        <f t="shared" si="8"/>
        <v>149.5</v>
      </c>
      <c r="H435" s="2"/>
      <c r="I435" s="2"/>
      <c r="J435" s="2"/>
      <c r="K435" s="2"/>
      <c r="L435" s="2"/>
      <c r="M435" s="2"/>
      <c r="N435" s="2"/>
      <c r="O435" s="2"/>
      <c r="P435" s="2"/>
      <c r="Q435" s="2"/>
    </row>
    <row r="436" spans="1:17" ht="13.2">
      <c r="A436" s="42">
        <v>45815</v>
      </c>
      <c r="B436" s="10">
        <v>1</v>
      </c>
      <c r="C436" s="10" t="s">
        <v>27</v>
      </c>
      <c r="D436" s="10" t="s">
        <v>27</v>
      </c>
      <c r="E436" s="21" t="s">
        <v>64</v>
      </c>
      <c r="F436" s="21">
        <v>145</v>
      </c>
      <c r="G436" s="10">
        <f t="shared" si="8"/>
        <v>145</v>
      </c>
      <c r="H436" s="2"/>
      <c r="I436" s="2"/>
      <c r="J436" s="2"/>
      <c r="K436" s="2"/>
      <c r="L436" s="2"/>
      <c r="M436" s="2"/>
      <c r="N436" s="2"/>
      <c r="O436" s="2"/>
      <c r="P436" s="2"/>
      <c r="Q436" s="2"/>
    </row>
    <row r="437" spans="1:17" ht="13.2">
      <c r="A437" s="42">
        <v>45814</v>
      </c>
      <c r="B437" s="10">
        <v>1</v>
      </c>
      <c r="C437" s="10" t="s">
        <v>60</v>
      </c>
      <c r="D437" s="10" t="s">
        <v>23</v>
      </c>
      <c r="E437" s="21" t="s">
        <v>225</v>
      </c>
      <c r="F437" s="21">
        <v>70</v>
      </c>
      <c r="G437" s="10">
        <f t="shared" si="8"/>
        <v>70</v>
      </c>
      <c r="I437" s="2"/>
      <c r="J437" s="2"/>
      <c r="K437" s="2"/>
      <c r="L437" s="2"/>
      <c r="M437" s="2"/>
      <c r="N437" s="2"/>
      <c r="O437" s="2"/>
      <c r="P437" s="2"/>
      <c r="Q437" s="2"/>
    </row>
    <row r="438" spans="1:17" ht="13.2">
      <c r="A438" s="42">
        <v>45817</v>
      </c>
      <c r="B438" s="10">
        <v>1</v>
      </c>
      <c r="C438" s="10" t="s">
        <v>60</v>
      </c>
      <c r="D438" s="10" t="s">
        <v>23</v>
      </c>
      <c r="E438" s="10" t="s">
        <v>113</v>
      </c>
      <c r="F438" s="21">
        <v>60</v>
      </c>
      <c r="G438" s="10">
        <f t="shared" si="8"/>
        <v>60</v>
      </c>
      <c r="H438" s="2"/>
      <c r="I438" s="2"/>
      <c r="J438" s="2"/>
      <c r="K438" s="2"/>
      <c r="L438" s="2"/>
      <c r="M438" s="2"/>
      <c r="N438" s="2"/>
      <c r="O438" s="2"/>
      <c r="P438" s="2"/>
      <c r="Q438" s="2"/>
    </row>
    <row r="439" spans="1:17" ht="13.2">
      <c r="A439" s="42">
        <v>45817</v>
      </c>
      <c r="B439" s="10">
        <v>1</v>
      </c>
      <c r="C439" s="10" t="s">
        <v>40</v>
      </c>
      <c r="D439" s="10" t="s">
        <v>40</v>
      </c>
      <c r="E439" s="21" t="s">
        <v>221</v>
      </c>
      <c r="F439" s="233">
        <v>187.5</v>
      </c>
      <c r="G439" s="10">
        <f t="shared" si="8"/>
        <v>187.5</v>
      </c>
      <c r="H439" s="2"/>
      <c r="I439" s="2"/>
      <c r="J439" s="2"/>
      <c r="K439" s="2"/>
      <c r="L439" s="2"/>
      <c r="M439" s="2"/>
      <c r="N439" s="2"/>
      <c r="O439" s="2"/>
      <c r="P439" s="2"/>
      <c r="Q439" s="2"/>
    </row>
    <row r="440" spans="1:17" ht="13.2">
      <c r="A440" s="42">
        <v>45817</v>
      </c>
      <c r="B440" s="10">
        <v>1</v>
      </c>
      <c r="C440" s="10" t="s">
        <v>40</v>
      </c>
      <c r="D440" s="10" t="s">
        <v>40</v>
      </c>
      <c r="E440" s="21" t="s">
        <v>269</v>
      </c>
      <c r="F440" s="233">
        <v>225</v>
      </c>
      <c r="G440" s="10">
        <f t="shared" si="8"/>
        <v>225</v>
      </c>
      <c r="H440" s="2"/>
      <c r="I440" s="2"/>
      <c r="J440" s="2"/>
      <c r="K440" s="2"/>
      <c r="L440" s="2"/>
      <c r="M440" s="2"/>
      <c r="N440" s="2"/>
      <c r="O440" s="2"/>
      <c r="P440" s="2"/>
      <c r="Q440" s="2"/>
    </row>
    <row r="441" spans="1:17" ht="13.2">
      <c r="A441" s="42">
        <v>45818</v>
      </c>
      <c r="B441" s="10">
        <v>1</v>
      </c>
      <c r="C441" s="10" t="s">
        <v>40</v>
      </c>
      <c r="D441" s="10" t="s">
        <v>40</v>
      </c>
      <c r="E441" s="21" t="s">
        <v>182</v>
      </c>
      <c r="F441" s="233">
        <v>375.5</v>
      </c>
      <c r="G441" s="10">
        <f t="shared" si="8"/>
        <v>375.5</v>
      </c>
      <c r="H441" s="2"/>
      <c r="I441" s="2"/>
      <c r="J441" s="2"/>
      <c r="K441" s="2"/>
      <c r="L441" s="2"/>
      <c r="M441" s="2"/>
      <c r="N441" s="2"/>
      <c r="O441" s="2"/>
      <c r="P441" s="2"/>
      <c r="Q441" s="2"/>
    </row>
    <row r="442" spans="1:17" ht="13.2">
      <c r="A442" s="42">
        <v>45818</v>
      </c>
      <c r="B442" s="10">
        <v>1</v>
      </c>
      <c r="C442" s="10" t="s">
        <v>40</v>
      </c>
      <c r="D442" s="10" t="s">
        <v>40</v>
      </c>
      <c r="E442" s="21" t="s">
        <v>292</v>
      </c>
      <c r="F442" s="10">
        <v>225</v>
      </c>
      <c r="G442" s="10">
        <f t="shared" si="8"/>
        <v>225</v>
      </c>
      <c r="H442" s="2"/>
      <c r="I442" s="2"/>
      <c r="J442" s="2"/>
      <c r="K442" s="2"/>
      <c r="L442" s="2"/>
      <c r="M442" s="2"/>
      <c r="N442" s="2"/>
      <c r="O442" s="2"/>
      <c r="P442" s="2"/>
      <c r="Q442" s="2"/>
    </row>
    <row r="443" spans="1:17" ht="13.2">
      <c r="A443" s="158">
        <v>45819</v>
      </c>
      <c r="B443" s="10">
        <v>3</v>
      </c>
      <c r="C443" s="10" t="s">
        <v>25</v>
      </c>
      <c r="D443" s="10" t="s">
        <v>25</v>
      </c>
      <c r="E443" s="21" t="s">
        <v>293</v>
      </c>
      <c r="F443" s="10">
        <v>800</v>
      </c>
      <c r="G443" s="10">
        <f t="shared" si="8"/>
        <v>2400</v>
      </c>
      <c r="H443" s="2"/>
      <c r="I443" s="2"/>
      <c r="J443" s="2"/>
      <c r="K443" s="2"/>
      <c r="L443" s="2"/>
      <c r="M443" s="2"/>
      <c r="N443" s="2"/>
      <c r="O443" s="2"/>
      <c r="P443" s="2"/>
      <c r="Q443" s="2"/>
    </row>
    <row r="444" spans="1:17" ht="13.2">
      <c r="A444" s="158">
        <v>45820</v>
      </c>
      <c r="B444" s="10">
        <v>1</v>
      </c>
      <c r="C444" s="10" t="s">
        <v>294</v>
      </c>
      <c r="D444" s="10" t="s">
        <v>294</v>
      </c>
      <c r="E444" s="39" t="s">
        <v>295</v>
      </c>
      <c r="F444" s="10">
        <v>150</v>
      </c>
      <c r="G444" s="10">
        <f t="shared" si="8"/>
        <v>150</v>
      </c>
      <c r="H444" s="2"/>
      <c r="I444" s="2"/>
      <c r="J444" s="2"/>
      <c r="K444" s="2"/>
      <c r="L444" s="2"/>
      <c r="M444" s="2"/>
      <c r="N444" s="2"/>
      <c r="O444" s="2"/>
      <c r="P444" s="2"/>
      <c r="Q444" s="2"/>
    </row>
    <row r="445" spans="1:17" ht="13.2">
      <c r="A445" s="158">
        <v>45823</v>
      </c>
      <c r="B445" s="23">
        <v>1</v>
      </c>
      <c r="C445" s="10" t="s">
        <v>60</v>
      </c>
      <c r="D445" s="10" t="s">
        <v>23</v>
      </c>
      <c r="E445" s="23" t="s">
        <v>165</v>
      </c>
      <c r="F445" s="23">
        <v>775</v>
      </c>
      <c r="G445" s="23">
        <f t="shared" si="8"/>
        <v>775</v>
      </c>
      <c r="H445" s="2"/>
      <c r="I445" s="2"/>
      <c r="J445" s="2"/>
      <c r="K445" s="2"/>
      <c r="L445" s="2"/>
      <c r="M445" s="2"/>
      <c r="N445" s="2"/>
      <c r="O445" s="2"/>
      <c r="P445" s="2"/>
      <c r="Q445" s="2"/>
    </row>
    <row r="446" spans="1:17" ht="13.2">
      <c r="A446" s="158">
        <v>45823</v>
      </c>
      <c r="B446" s="23">
        <v>1</v>
      </c>
      <c r="C446" s="10" t="s">
        <v>60</v>
      </c>
      <c r="D446" s="10" t="s">
        <v>23</v>
      </c>
      <c r="E446" s="23" t="s">
        <v>201</v>
      </c>
      <c r="F446" s="23">
        <v>900</v>
      </c>
      <c r="G446" s="23">
        <f t="shared" si="8"/>
        <v>900</v>
      </c>
      <c r="H446" s="2"/>
      <c r="I446" s="2"/>
      <c r="J446" s="2"/>
      <c r="K446" s="2"/>
      <c r="L446" s="2"/>
      <c r="M446" s="2"/>
      <c r="N446" s="2"/>
      <c r="O446" s="2"/>
      <c r="P446" s="2"/>
      <c r="Q446" s="2"/>
    </row>
    <row r="447" spans="1:17" ht="13.2">
      <c r="A447" s="158">
        <v>45823</v>
      </c>
      <c r="B447" s="23">
        <v>1</v>
      </c>
      <c r="C447" s="10" t="s">
        <v>60</v>
      </c>
      <c r="D447" s="10" t="s">
        <v>23</v>
      </c>
      <c r="E447" s="21" t="s">
        <v>160</v>
      </c>
      <c r="F447" s="23">
        <v>565</v>
      </c>
      <c r="G447" s="23">
        <f t="shared" si="8"/>
        <v>565</v>
      </c>
      <c r="H447" s="2"/>
      <c r="I447" s="2"/>
      <c r="J447" s="2"/>
      <c r="K447" s="2"/>
      <c r="L447" s="2"/>
      <c r="M447" s="2"/>
      <c r="N447" s="2"/>
      <c r="O447" s="2"/>
      <c r="P447" s="2"/>
      <c r="Q447" s="2"/>
    </row>
    <row r="448" spans="1:17" ht="13.2">
      <c r="A448" s="158">
        <v>45823</v>
      </c>
      <c r="B448" s="19">
        <v>1</v>
      </c>
      <c r="C448" s="10" t="s">
        <v>60</v>
      </c>
      <c r="D448" s="10" t="s">
        <v>23</v>
      </c>
      <c r="E448" s="21" t="s">
        <v>267</v>
      </c>
      <c r="F448" s="21">
        <v>60</v>
      </c>
      <c r="G448" s="10">
        <f t="shared" si="8"/>
        <v>60</v>
      </c>
      <c r="H448" s="2"/>
      <c r="I448" s="2"/>
      <c r="J448" s="2"/>
      <c r="K448" s="2"/>
      <c r="L448" s="2"/>
      <c r="M448" s="2"/>
      <c r="N448" s="2"/>
      <c r="O448" s="2"/>
      <c r="P448" s="2"/>
      <c r="Q448" s="2"/>
    </row>
    <row r="449" spans="1:17" ht="13.2">
      <c r="A449" s="42">
        <v>45824</v>
      </c>
      <c r="B449" s="10">
        <v>1</v>
      </c>
      <c r="C449" s="10" t="s">
        <v>40</v>
      </c>
      <c r="D449" s="10" t="s">
        <v>40</v>
      </c>
      <c r="E449" s="21" t="s">
        <v>182</v>
      </c>
      <c r="F449" s="10">
        <v>450</v>
      </c>
      <c r="G449" s="10">
        <f t="shared" si="8"/>
        <v>450</v>
      </c>
      <c r="H449" s="2"/>
      <c r="I449" s="2"/>
      <c r="J449" s="2"/>
      <c r="K449" s="2"/>
      <c r="L449" s="2"/>
      <c r="M449" s="2"/>
      <c r="N449" s="2"/>
      <c r="O449" s="2"/>
      <c r="P449" s="2"/>
      <c r="Q449" s="2"/>
    </row>
    <row r="450" spans="1:17" ht="13.2">
      <c r="A450" s="42">
        <v>45824</v>
      </c>
      <c r="B450" s="10">
        <v>1</v>
      </c>
      <c r="C450" s="10" t="s">
        <v>40</v>
      </c>
      <c r="D450" s="10" t="s">
        <v>40</v>
      </c>
      <c r="E450" s="21" t="s">
        <v>221</v>
      </c>
      <c r="F450" s="10">
        <v>225</v>
      </c>
      <c r="G450" s="10">
        <f t="shared" si="8"/>
        <v>225</v>
      </c>
      <c r="H450" s="2"/>
      <c r="I450" s="2"/>
      <c r="J450" s="2"/>
      <c r="K450" s="2"/>
      <c r="L450" s="2"/>
      <c r="M450" s="2"/>
      <c r="N450" s="2"/>
      <c r="O450" s="2"/>
      <c r="P450" s="2"/>
      <c r="Q450" s="2"/>
    </row>
    <row r="451" spans="1:17" ht="13.2">
      <c r="A451" s="42">
        <v>45824</v>
      </c>
      <c r="B451" s="10">
        <v>1</v>
      </c>
      <c r="C451" s="10" t="s">
        <v>40</v>
      </c>
      <c r="D451" s="10" t="s">
        <v>40</v>
      </c>
      <c r="E451" s="21" t="s">
        <v>181</v>
      </c>
      <c r="F451" s="10">
        <v>427.5</v>
      </c>
      <c r="G451" s="10">
        <f t="shared" si="8"/>
        <v>427.5</v>
      </c>
      <c r="H451" s="2"/>
      <c r="I451" s="2"/>
      <c r="J451" s="2"/>
      <c r="K451" s="2"/>
      <c r="L451" s="2"/>
      <c r="M451" s="2"/>
      <c r="N451" s="2"/>
      <c r="O451" s="2"/>
      <c r="P451" s="2"/>
      <c r="Q451" s="2"/>
    </row>
    <row r="452" spans="1:17" ht="13.2">
      <c r="A452" s="42">
        <v>45824</v>
      </c>
      <c r="B452" s="10">
        <v>1</v>
      </c>
      <c r="C452" s="10" t="s">
        <v>40</v>
      </c>
      <c r="D452" s="10" t="s">
        <v>40</v>
      </c>
      <c r="E452" s="21" t="s">
        <v>173</v>
      </c>
      <c r="F452" s="10">
        <v>1777.5</v>
      </c>
      <c r="G452" s="10">
        <f t="shared" si="8"/>
        <v>1777.5</v>
      </c>
      <c r="H452" s="2"/>
      <c r="I452" s="2"/>
      <c r="J452" s="2"/>
      <c r="K452" s="2"/>
      <c r="L452" s="2"/>
      <c r="M452" s="2"/>
      <c r="N452" s="2"/>
      <c r="O452" s="2"/>
      <c r="P452" s="2"/>
      <c r="Q452" s="2"/>
    </row>
    <row r="453" spans="1:17" ht="13.2">
      <c r="A453" s="42">
        <v>45825</v>
      </c>
      <c r="B453" s="10">
        <v>1</v>
      </c>
      <c r="C453" s="10" t="s">
        <v>25</v>
      </c>
      <c r="D453" s="10" t="s">
        <v>25</v>
      </c>
      <c r="E453" s="21" t="s">
        <v>246</v>
      </c>
      <c r="F453" s="10">
        <v>800</v>
      </c>
      <c r="G453" s="10">
        <f t="shared" si="8"/>
        <v>800</v>
      </c>
      <c r="H453" s="2"/>
      <c r="I453" s="2"/>
      <c r="J453" s="2"/>
      <c r="K453" s="2"/>
      <c r="L453" s="2"/>
      <c r="M453" s="2"/>
      <c r="N453" s="2"/>
      <c r="O453" s="2"/>
      <c r="P453" s="2"/>
      <c r="Q453" s="2"/>
    </row>
    <row r="454" spans="1:17" ht="13.2">
      <c r="A454" s="42">
        <v>45825</v>
      </c>
      <c r="B454" s="10">
        <v>3</v>
      </c>
      <c r="C454" s="10" t="s">
        <v>25</v>
      </c>
      <c r="D454" s="10" t="s">
        <v>25</v>
      </c>
      <c r="E454" s="21" t="s">
        <v>296</v>
      </c>
      <c r="F454" s="10">
        <v>100</v>
      </c>
      <c r="G454" s="10">
        <f t="shared" si="8"/>
        <v>300</v>
      </c>
      <c r="H454" s="2"/>
      <c r="I454" s="2"/>
      <c r="J454" s="2"/>
      <c r="K454" s="2"/>
      <c r="L454" s="2"/>
      <c r="M454" s="2"/>
      <c r="N454" s="2"/>
      <c r="O454" s="2"/>
      <c r="P454" s="2"/>
      <c r="Q454" s="2"/>
    </row>
    <row r="455" spans="1:17" ht="13.2">
      <c r="A455" s="42">
        <v>45825</v>
      </c>
      <c r="B455" s="10">
        <v>1</v>
      </c>
      <c r="C455" s="10" t="s">
        <v>40</v>
      </c>
      <c r="D455" s="10" t="s">
        <v>40</v>
      </c>
      <c r="E455" s="21" t="s">
        <v>297</v>
      </c>
      <c r="F455" s="10">
        <v>37.5</v>
      </c>
      <c r="G455" s="10">
        <f t="shared" si="8"/>
        <v>37.5</v>
      </c>
      <c r="H455" s="2"/>
      <c r="I455" s="2"/>
      <c r="J455" s="2"/>
      <c r="K455" s="2"/>
      <c r="L455" s="2"/>
      <c r="M455" s="2"/>
      <c r="N455" s="2"/>
      <c r="O455" s="2"/>
      <c r="P455" s="2"/>
      <c r="Q455" s="2"/>
    </row>
    <row r="456" spans="1:17" ht="13.2">
      <c r="A456" s="42">
        <v>45825</v>
      </c>
      <c r="B456" s="10">
        <v>1</v>
      </c>
      <c r="C456" s="10" t="s">
        <v>27</v>
      </c>
      <c r="D456" s="10" t="s">
        <v>27</v>
      </c>
      <c r="E456" s="21" t="s">
        <v>64</v>
      </c>
      <c r="F456" s="10">
        <v>200</v>
      </c>
      <c r="G456" s="10">
        <f t="shared" si="8"/>
        <v>200</v>
      </c>
      <c r="H456" s="2"/>
      <c r="I456" s="2"/>
      <c r="J456" s="2"/>
      <c r="K456" s="2"/>
      <c r="L456" s="2"/>
      <c r="M456" s="2"/>
      <c r="N456" s="2"/>
      <c r="O456" s="2"/>
      <c r="P456" s="2"/>
      <c r="Q456" s="2"/>
    </row>
    <row r="457" spans="1:17" ht="13.2">
      <c r="A457" s="42">
        <v>45826</v>
      </c>
      <c r="B457" s="10">
        <v>1</v>
      </c>
      <c r="C457" s="10" t="s">
        <v>31</v>
      </c>
      <c r="D457" s="10" t="s">
        <v>31</v>
      </c>
      <c r="E457" s="10" t="s">
        <v>174</v>
      </c>
      <c r="F457" s="10">
        <v>2550</v>
      </c>
      <c r="G457" s="10">
        <f t="shared" si="8"/>
        <v>2550</v>
      </c>
      <c r="H457" s="2"/>
      <c r="I457" s="2"/>
      <c r="J457" s="2"/>
      <c r="K457" s="2"/>
      <c r="L457" s="2"/>
      <c r="M457" s="2"/>
      <c r="N457" s="2"/>
      <c r="O457" s="2"/>
      <c r="P457" s="2"/>
      <c r="Q457" s="2"/>
    </row>
    <row r="458" spans="1:17" ht="13.2">
      <c r="A458" s="42">
        <v>45826</v>
      </c>
      <c r="B458" s="10">
        <v>1</v>
      </c>
      <c r="C458" s="10" t="s">
        <v>73</v>
      </c>
      <c r="D458" s="10" t="s">
        <v>73</v>
      </c>
      <c r="E458" s="10" t="s">
        <v>298</v>
      </c>
      <c r="F458" s="10">
        <v>50</v>
      </c>
      <c r="G458" s="10">
        <f t="shared" si="8"/>
        <v>50</v>
      </c>
      <c r="H458" s="2"/>
      <c r="I458" s="2"/>
      <c r="J458" s="2"/>
      <c r="K458" s="2"/>
      <c r="L458" s="2"/>
      <c r="M458" s="2"/>
      <c r="N458" s="2"/>
      <c r="O458" s="2"/>
      <c r="P458" s="2"/>
      <c r="Q458" s="2"/>
    </row>
    <row r="459" spans="1:17" ht="13.2">
      <c r="A459" s="42">
        <v>45826</v>
      </c>
      <c r="B459" s="10">
        <v>1</v>
      </c>
      <c r="C459" s="10" t="s">
        <v>31</v>
      </c>
      <c r="D459" s="10" t="s">
        <v>31</v>
      </c>
      <c r="E459" s="10" t="s">
        <v>256</v>
      </c>
      <c r="F459" s="10">
        <v>165</v>
      </c>
      <c r="G459" s="10">
        <f t="shared" si="8"/>
        <v>165</v>
      </c>
      <c r="H459" s="2"/>
      <c r="I459" s="2"/>
      <c r="J459" s="2"/>
      <c r="K459" s="2"/>
      <c r="L459" s="2"/>
      <c r="M459" s="2"/>
      <c r="N459" s="2"/>
      <c r="O459" s="2"/>
      <c r="P459" s="2"/>
      <c r="Q459" s="2"/>
    </row>
    <row r="460" spans="1:17" ht="13.2">
      <c r="A460" s="42">
        <v>45827</v>
      </c>
      <c r="B460" s="10">
        <v>3</v>
      </c>
      <c r="C460" s="10" t="s">
        <v>252</v>
      </c>
      <c r="D460" s="10" t="s">
        <v>23</v>
      </c>
      <c r="E460" s="10" t="s">
        <v>264</v>
      </c>
      <c r="F460" s="10">
        <v>52</v>
      </c>
      <c r="G460" s="10">
        <f t="shared" si="8"/>
        <v>156</v>
      </c>
      <c r="H460" s="2"/>
      <c r="I460" s="2"/>
      <c r="J460" s="2"/>
      <c r="K460" s="2"/>
      <c r="L460" s="2"/>
      <c r="M460" s="2"/>
      <c r="N460" s="2"/>
      <c r="O460" s="2"/>
      <c r="P460" s="2"/>
      <c r="Q460" s="2"/>
    </row>
    <row r="461" spans="1:17" ht="13.2">
      <c r="A461" s="42">
        <v>45827</v>
      </c>
      <c r="B461" s="10">
        <v>1</v>
      </c>
      <c r="C461" s="10" t="s">
        <v>252</v>
      </c>
      <c r="D461" s="10" t="s">
        <v>23</v>
      </c>
      <c r="E461" s="10" t="s">
        <v>299</v>
      </c>
      <c r="F461" s="10">
        <v>40</v>
      </c>
      <c r="G461" s="10">
        <f t="shared" si="8"/>
        <v>40</v>
      </c>
      <c r="H461" s="2"/>
      <c r="I461" s="2"/>
      <c r="J461" s="2"/>
      <c r="K461" s="2"/>
      <c r="L461" s="2"/>
      <c r="M461" s="2"/>
      <c r="N461" s="2"/>
      <c r="O461" s="2"/>
      <c r="P461" s="2"/>
      <c r="Q461" s="2"/>
    </row>
    <row r="462" spans="1:17" ht="13.2">
      <c r="A462" s="42">
        <v>45827</v>
      </c>
      <c r="B462" s="10">
        <v>1</v>
      </c>
      <c r="C462" s="10" t="s">
        <v>252</v>
      </c>
      <c r="D462" s="10" t="s">
        <v>23</v>
      </c>
      <c r="E462" s="10" t="s">
        <v>300</v>
      </c>
      <c r="F462" s="10">
        <v>10</v>
      </c>
      <c r="G462" s="10">
        <f t="shared" si="8"/>
        <v>10</v>
      </c>
      <c r="H462" s="2"/>
      <c r="I462" s="2"/>
      <c r="J462" s="2"/>
      <c r="K462" s="2"/>
      <c r="L462" s="2"/>
      <c r="M462" s="2"/>
      <c r="N462" s="2"/>
      <c r="O462" s="2"/>
      <c r="P462" s="2"/>
      <c r="Q462" s="2"/>
    </row>
    <row r="463" spans="1:17" ht="13.2">
      <c r="A463" s="42">
        <v>45827</v>
      </c>
      <c r="B463" s="10">
        <v>2</v>
      </c>
      <c r="C463" s="10" t="s">
        <v>33</v>
      </c>
      <c r="D463" s="10" t="s">
        <v>23</v>
      </c>
      <c r="E463" s="10" t="s">
        <v>187</v>
      </c>
      <c r="F463" s="10">
        <v>19</v>
      </c>
      <c r="G463" s="10">
        <f t="shared" si="8"/>
        <v>38</v>
      </c>
      <c r="H463" s="2"/>
      <c r="I463" s="2"/>
      <c r="J463" s="2"/>
      <c r="K463" s="2"/>
      <c r="L463" s="2"/>
      <c r="M463" s="2"/>
      <c r="N463" s="2"/>
      <c r="O463" s="2"/>
      <c r="P463" s="2"/>
      <c r="Q463" s="2"/>
    </row>
    <row r="464" spans="1:17" ht="13.2">
      <c r="A464" s="42">
        <v>45827</v>
      </c>
      <c r="B464" s="10">
        <v>2</v>
      </c>
      <c r="C464" s="10" t="s">
        <v>33</v>
      </c>
      <c r="D464" s="10" t="s">
        <v>23</v>
      </c>
      <c r="E464" s="10" t="s">
        <v>262</v>
      </c>
      <c r="F464" s="10">
        <v>13</v>
      </c>
      <c r="G464" s="10">
        <f t="shared" si="8"/>
        <v>26</v>
      </c>
      <c r="H464" s="2"/>
      <c r="I464" s="2"/>
      <c r="J464" s="2"/>
      <c r="K464" s="2"/>
      <c r="L464" s="2"/>
      <c r="M464" s="2"/>
      <c r="N464" s="2"/>
      <c r="O464" s="2"/>
      <c r="P464" s="2"/>
      <c r="Q464" s="2"/>
    </row>
    <row r="465" spans="1:17" ht="13.2">
      <c r="A465" s="42">
        <v>45827</v>
      </c>
      <c r="B465" s="10">
        <v>5</v>
      </c>
      <c r="C465" s="10" t="s">
        <v>33</v>
      </c>
      <c r="D465" s="10" t="s">
        <v>23</v>
      </c>
      <c r="E465" s="10" t="s">
        <v>206</v>
      </c>
      <c r="F465" s="10">
        <v>7</v>
      </c>
      <c r="G465" s="10">
        <f t="shared" si="8"/>
        <v>35</v>
      </c>
      <c r="H465" s="2"/>
      <c r="I465" s="2"/>
      <c r="J465" s="2"/>
      <c r="K465" s="2"/>
      <c r="L465" s="2"/>
      <c r="M465" s="2"/>
      <c r="N465" s="2"/>
      <c r="O465" s="2"/>
      <c r="P465" s="2"/>
      <c r="Q465" s="2"/>
    </row>
    <row r="466" spans="1:17" ht="13.2">
      <c r="A466" s="42">
        <v>45827</v>
      </c>
      <c r="B466" s="10">
        <v>1</v>
      </c>
      <c r="C466" s="10" t="s">
        <v>284</v>
      </c>
      <c r="D466" s="10" t="s">
        <v>23</v>
      </c>
      <c r="E466" s="10" t="s">
        <v>209</v>
      </c>
      <c r="F466" s="10">
        <v>15</v>
      </c>
      <c r="G466" s="10">
        <f t="shared" si="8"/>
        <v>15</v>
      </c>
      <c r="H466" s="2"/>
      <c r="I466" s="2"/>
      <c r="J466" s="2"/>
      <c r="K466" s="2"/>
      <c r="L466" s="2"/>
      <c r="M466" s="2"/>
      <c r="N466" s="2"/>
      <c r="O466" s="2"/>
      <c r="P466" s="2"/>
      <c r="Q466" s="2"/>
    </row>
    <row r="467" spans="1:17" ht="13.2">
      <c r="A467" s="42">
        <v>45827</v>
      </c>
      <c r="B467" s="10">
        <v>1</v>
      </c>
      <c r="C467" s="10" t="s">
        <v>284</v>
      </c>
      <c r="D467" s="10" t="s">
        <v>23</v>
      </c>
      <c r="E467" s="10" t="s">
        <v>301</v>
      </c>
      <c r="F467" s="10">
        <v>15</v>
      </c>
      <c r="G467" s="10">
        <f t="shared" si="8"/>
        <v>15</v>
      </c>
      <c r="H467" s="2"/>
      <c r="I467" s="2"/>
      <c r="J467" s="2"/>
      <c r="K467" s="2"/>
      <c r="L467" s="2"/>
      <c r="M467" s="2"/>
      <c r="N467" s="2"/>
      <c r="O467" s="2"/>
      <c r="P467" s="2"/>
      <c r="Q467" s="2"/>
    </row>
    <row r="468" spans="1:17" ht="13.2">
      <c r="A468" s="42">
        <v>45827</v>
      </c>
      <c r="B468" s="10">
        <v>2</v>
      </c>
      <c r="C468" s="10" t="s">
        <v>22</v>
      </c>
      <c r="D468" s="10" t="s">
        <v>23</v>
      </c>
      <c r="E468" s="10" t="s">
        <v>239</v>
      </c>
      <c r="F468" s="10">
        <v>21</v>
      </c>
      <c r="G468" s="10">
        <f t="shared" si="8"/>
        <v>42</v>
      </c>
      <c r="H468" s="2"/>
      <c r="I468" s="2"/>
      <c r="J468" s="2"/>
      <c r="K468" s="2"/>
      <c r="L468" s="2"/>
      <c r="M468" s="2"/>
      <c r="N468" s="2"/>
      <c r="O468" s="2"/>
      <c r="P468" s="2"/>
      <c r="Q468" s="2"/>
    </row>
    <row r="469" spans="1:17" ht="13.2">
      <c r="A469" s="42">
        <v>45827</v>
      </c>
      <c r="B469" s="10">
        <v>1</v>
      </c>
      <c r="C469" s="10" t="s">
        <v>22</v>
      </c>
      <c r="D469" s="10" t="s">
        <v>23</v>
      </c>
      <c r="E469" s="10" t="s">
        <v>302</v>
      </c>
      <c r="F469" s="10">
        <v>18</v>
      </c>
      <c r="G469" s="10">
        <f t="shared" si="8"/>
        <v>18</v>
      </c>
      <c r="H469" s="2"/>
      <c r="I469" s="2"/>
      <c r="J469" s="2"/>
      <c r="K469" s="2"/>
      <c r="L469" s="2"/>
      <c r="M469" s="2"/>
      <c r="N469" s="2"/>
      <c r="O469" s="2"/>
      <c r="P469" s="2"/>
      <c r="Q469" s="2"/>
    </row>
    <row r="470" spans="1:17" ht="13.2">
      <c r="A470" s="42">
        <v>45827</v>
      </c>
      <c r="B470" s="10">
        <v>4</v>
      </c>
      <c r="C470" s="10" t="s">
        <v>252</v>
      </c>
      <c r="D470" s="10" t="s">
        <v>23</v>
      </c>
      <c r="E470" s="10" t="s">
        <v>303</v>
      </c>
      <c r="F470" s="10">
        <v>30</v>
      </c>
      <c r="G470" s="10">
        <f t="shared" si="8"/>
        <v>120</v>
      </c>
      <c r="H470" s="2"/>
      <c r="I470" s="2"/>
      <c r="J470" s="2"/>
      <c r="K470" s="2"/>
      <c r="L470" s="2"/>
      <c r="M470" s="2"/>
      <c r="N470" s="2"/>
      <c r="O470" s="2"/>
      <c r="P470" s="2"/>
      <c r="Q470" s="2"/>
    </row>
    <row r="471" spans="1:17" ht="13.2">
      <c r="A471" s="42">
        <v>45827</v>
      </c>
      <c r="B471" s="10">
        <v>1</v>
      </c>
      <c r="C471" s="10" t="s">
        <v>60</v>
      </c>
      <c r="D471" s="10" t="s">
        <v>23</v>
      </c>
      <c r="E471" s="10" t="s">
        <v>113</v>
      </c>
      <c r="F471" s="21">
        <v>60</v>
      </c>
      <c r="G471" s="10">
        <f t="shared" si="8"/>
        <v>60</v>
      </c>
      <c r="H471" s="2"/>
      <c r="I471" s="2"/>
      <c r="J471" s="2"/>
      <c r="K471" s="2"/>
      <c r="L471" s="2"/>
      <c r="M471" s="2"/>
      <c r="N471" s="2"/>
      <c r="O471" s="2"/>
      <c r="P471" s="2"/>
      <c r="Q471" s="2"/>
    </row>
    <row r="472" spans="1:17" ht="13.2">
      <c r="A472" s="42">
        <v>45828</v>
      </c>
      <c r="B472" s="10">
        <v>1</v>
      </c>
      <c r="C472" s="10" t="s">
        <v>60</v>
      </c>
      <c r="D472" s="10" t="s">
        <v>23</v>
      </c>
      <c r="E472" s="10" t="s">
        <v>113</v>
      </c>
      <c r="F472" s="21">
        <v>60</v>
      </c>
      <c r="G472" s="10">
        <f t="shared" si="8"/>
        <v>60</v>
      </c>
      <c r="H472" s="2"/>
      <c r="I472" s="2"/>
      <c r="J472" s="2"/>
      <c r="K472" s="2"/>
      <c r="L472" s="2"/>
      <c r="M472" s="2"/>
      <c r="N472" s="2"/>
      <c r="O472" s="2"/>
      <c r="P472" s="2"/>
      <c r="Q472" s="2"/>
    </row>
    <row r="473" spans="1:17" ht="13.2">
      <c r="A473" s="42">
        <v>45831</v>
      </c>
      <c r="B473" s="10">
        <v>1</v>
      </c>
      <c r="C473" s="10" t="s">
        <v>40</v>
      </c>
      <c r="D473" s="10" t="s">
        <v>40</v>
      </c>
      <c r="E473" s="21" t="s">
        <v>292</v>
      </c>
      <c r="F473" s="21">
        <v>37.5</v>
      </c>
      <c r="G473" s="10">
        <f t="shared" si="8"/>
        <v>37.5</v>
      </c>
      <c r="H473" s="2"/>
      <c r="I473" s="2"/>
      <c r="J473" s="2"/>
      <c r="K473" s="2"/>
      <c r="L473" s="2"/>
      <c r="M473" s="2"/>
      <c r="N473" s="2"/>
      <c r="O473" s="2"/>
      <c r="P473" s="2"/>
      <c r="Q473" s="2"/>
    </row>
    <row r="474" spans="1:17" ht="13.2">
      <c r="A474" s="42">
        <v>45831</v>
      </c>
      <c r="B474" s="10">
        <v>1</v>
      </c>
      <c r="C474" s="10" t="s">
        <v>40</v>
      </c>
      <c r="D474" s="10" t="s">
        <v>40</v>
      </c>
      <c r="E474" s="21" t="s">
        <v>269</v>
      </c>
      <c r="F474" s="21">
        <v>525</v>
      </c>
      <c r="G474" s="10">
        <f t="shared" si="8"/>
        <v>525</v>
      </c>
      <c r="H474" s="2"/>
      <c r="I474" s="2"/>
      <c r="J474" s="2"/>
      <c r="K474" s="2"/>
      <c r="L474" s="2"/>
      <c r="M474" s="2"/>
      <c r="N474" s="2"/>
      <c r="O474" s="2"/>
      <c r="P474" s="2"/>
      <c r="Q474" s="2"/>
    </row>
    <row r="475" spans="1:17" ht="13.2">
      <c r="A475" s="42">
        <v>45831</v>
      </c>
      <c r="B475" s="10">
        <v>1</v>
      </c>
      <c r="C475" s="10" t="s">
        <v>40</v>
      </c>
      <c r="D475" s="10" t="s">
        <v>40</v>
      </c>
      <c r="E475" s="21" t="s">
        <v>182</v>
      </c>
      <c r="F475" s="21">
        <v>412.5</v>
      </c>
      <c r="G475" s="10">
        <f t="shared" si="8"/>
        <v>412.5</v>
      </c>
      <c r="H475" s="2"/>
      <c r="I475" s="2"/>
      <c r="J475" s="2"/>
      <c r="K475" s="2"/>
      <c r="L475" s="2"/>
      <c r="M475" s="2"/>
      <c r="N475" s="2"/>
      <c r="O475" s="2"/>
      <c r="P475" s="2"/>
      <c r="Q475" s="2"/>
    </row>
    <row r="476" spans="1:17" ht="13.2">
      <c r="A476" s="42">
        <v>45831</v>
      </c>
      <c r="B476" s="10">
        <v>1</v>
      </c>
      <c r="C476" s="10" t="s">
        <v>25</v>
      </c>
      <c r="D476" s="10" t="s">
        <v>25</v>
      </c>
      <c r="E476" s="21" t="s">
        <v>268</v>
      </c>
      <c r="F476" s="21">
        <v>93.75</v>
      </c>
      <c r="G476" s="10">
        <f t="shared" si="8"/>
        <v>93.75</v>
      </c>
      <c r="H476" s="2"/>
      <c r="I476" s="2"/>
      <c r="J476" s="2"/>
      <c r="K476" s="2"/>
      <c r="L476" s="2"/>
      <c r="M476" s="2"/>
      <c r="N476" s="2"/>
      <c r="O476" s="2"/>
      <c r="P476" s="2"/>
      <c r="Q476" s="2"/>
    </row>
    <row r="477" spans="1:17" ht="13.2">
      <c r="A477" s="42">
        <v>45831</v>
      </c>
      <c r="B477" s="10">
        <v>1</v>
      </c>
      <c r="C477" s="10" t="s">
        <v>79</v>
      </c>
      <c r="D477" s="10" t="s">
        <v>31</v>
      </c>
      <c r="E477" s="10" t="s">
        <v>285</v>
      </c>
      <c r="F477" s="21">
        <v>521.62</v>
      </c>
      <c r="G477" s="10">
        <f t="shared" si="8"/>
        <v>521.62</v>
      </c>
      <c r="H477" s="2"/>
      <c r="I477" s="2"/>
      <c r="J477" s="2"/>
      <c r="K477" s="2"/>
      <c r="L477" s="2"/>
      <c r="M477" s="2"/>
      <c r="N477" s="2"/>
      <c r="O477" s="2"/>
      <c r="P477" s="2"/>
      <c r="Q477" s="2"/>
    </row>
    <row r="478" spans="1:17" ht="13.2">
      <c r="A478" s="228">
        <v>45832</v>
      </c>
      <c r="B478" s="21">
        <v>1</v>
      </c>
      <c r="C478" s="10" t="s">
        <v>60</v>
      </c>
      <c r="D478" s="10" t="s">
        <v>23</v>
      </c>
      <c r="E478" s="10" t="s">
        <v>104</v>
      </c>
      <c r="F478" s="10">
        <v>65</v>
      </c>
      <c r="G478" s="10">
        <v>65</v>
      </c>
      <c r="H478" s="2"/>
      <c r="I478" s="2"/>
      <c r="J478" s="2"/>
      <c r="K478" s="2"/>
      <c r="L478" s="2"/>
      <c r="M478" s="2"/>
      <c r="N478" s="2"/>
      <c r="O478" s="2"/>
      <c r="P478" s="2"/>
      <c r="Q478" s="2"/>
    </row>
    <row r="479" spans="1:17" ht="13.2">
      <c r="A479" s="42">
        <v>45832</v>
      </c>
      <c r="B479" s="21">
        <v>3</v>
      </c>
      <c r="C479" s="10" t="s">
        <v>25</v>
      </c>
      <c r="D479" s="10" t="s">
        <v>25</v>
      </c>
      <c r="E479" s="10" t="s">
        <v>304</v>
      </c>
      <c r="F479" s="10">
        <v>12</v>
      </c>
      <c r="G479" s="10">
        <f t="shared" ref="G479:G480" si="9">B479*F479</f>
        <v>36</v>
      </c>
      <c r="H479" s="2"/>
      <c r="I479" s="2"/>
      <c r="J479" s="2"/>
      <c r="K479" s="2"/>
      <c r="L479" s="2"/>
      <c r="M479" s="2"/>
      <c r="N479" s="2"/>
      <c r="O479" s="2"/>
      <c r="P479" s="2"/>
      <c r="Q479" s="2"/>
    </row>
    <row r="480" spans="1:17" ht="13.2">
      <c r="A480" s="42">
        <v>45833</v>
      </c>
      <c r="B480" s="21">
        <v>1</v>
      </c>
      <c r="C480" s="10" t="s">
        <v>25</v>
      </c>
      <c r="D480" s="10" t="s">
        <v>25</v>
      </c>
      <c r="E480" s="10" t="s">
        <v>296</v>
      </c>
      <c r="F480" s="10">
        <v>100</v>
      </c>
      <c r="G480" s="10">
        <f t="shared" si="9"/>
        <v>100</v>
      </c>
      <c r="H480" s="2"/>
      <c r="I480" s="2"/>
      <c r="J480" s="2"/>
      <c r="K480" s="2"/>
      <c r="L480" s="2"/>
      <c r="M480" s="2"/>
      <c r="N480" s="2"/>
      <c r="O480" s="2"/>
      <c r="P480" s="2"/>
      <c r="Q480" s="2"/>
    </row>
    <row r="481" spans="1:17" ht="13.2">
      <c r="A481" s="228">
        <v>45833</v>
      </c>
      <c r="B481" s="21">
        <v>1</v>
      </c>
      <c r="C481" s="10" t="s">
        <v>193</v>
      </c>
      <c r="D481" s="10" t="s">
        <v>31</v>
      </c>
      <c r="E481" s="10" t="s">
        <v>305</v>
      </c>
      <c r="F481" s="10">
        <v>183.75</v>
      </c>
      <c r="G481" s="10">
        <f t="shared" ref="G481:G508" si="10">F481*B481</f>
        <v>183.75</v>
      </c>
      <c r="H481" s="2"/>
      <c r="I481" s="2"/>
      <c r="J481" s="2"/>
      <c r="K481" s="2"/>
      <c r="L481" s="2"/>
      <c r="M481" s="2"/>
      <c r="N481" s="2"/>
      <c r="O481" s="2"/>
      <c r="P481" s="2"/>
      <c r="Q481" s="2"/>
    </row>
    <row r="482" spans="1:17" ht="13.2">
      <c r="A482" s="228">
        <v>45833</v>
      </c>
      <c r="B482" s="21">
        <v>1</v>
      </c>
      <c r="C482" s="10" t="s">
        <v>193</v>
      </c>
      <c r="D482" s="10" t="s">
        <v>31</v>
      </c>
      <c r="E482" s="10" t="s">
        <v>306</v>
      </c>
      <c r="F482" s="10">
        <v>11.25</v>
      </c>
      <c r="G482" s="10">
        <f t="shared" si="10"/>
        <v>11.25</v>
      </c>
      <c r="H482" s="2"/>
      <c r="I482" s="2"/>
      <c r="J482" s="2"/>
      <c r="K482" s="2"/>
      <c r="L482" s="2"/>
      <c r="M482" s="2"/>
      <c r="N482" s="2"/>
      <c r="O482" s="2"/>
      <c r="P482" s="2"/>
      <c r="Q482" s="2"/>
    </row>
    <row r="483" spans="1:17" ht="13.2">
      <c r="A483" s="228">
        <v>45833</v>
      </c>
      <c r="B483" s="21">
        <v>1</v>
      </c>
      <c r="C483" s="10" t="s">
        <v>193</v>
      </c>
      <c r="D483" s="10" t="s">
        <v>31</v>
      </c>
      <c r="E483" s="10" t="s">
        <v>51</v>
      </c>
      <c r="F483" s="10">
        <v>25</v>
      </c>
      <c r="G483" s="10">
        <f t="shared" si="10"/>
        <v>25</v>
      </c>
      <c r="H483" s="2"/>
      <c r="I483" s="2"/>
      <c r="J483" s="2"/>
      <c r="K483" s="2"/>
      <c r="L483" s="2"/>
      <c r="M483" s="2"/>
      <c r="N483" s="2"/>
      <c r="O483" s="2"/>
      <c r="P483" s="2"/>
      <c r="Q483" s="2"/>
    </row>
    <row r="484" spans="1:17" ht="13.2">
      <c r="A484" s="228">
        <v>45833</v>
      </c>
      <c r="B484" s="21">
        <v>1</v>
      </c>
      <c r="C484" s="10" t="s">
        <v>31</v>
      </c>
      <c r="D484" s="10" t="s">
        <v>31</v>
      </c>
      <c r="E484" s="10" t="s">
        <v>307</v>
      </c>
      <c r="F484" s="10">
        <v>25</v>
      </c>
      <c r="G484" s="10">
        <f t="shared" si="10"/>
        <v>25</v>
      </c>
      <c r="H484" s="2"/>
      <c r="I484" s="2"/>
      <c r="J484" s="2"/>
      <c r="K484" s="2"/>
      <c r="L484" s="2"/>
      <c r="M484" s="2"/>
      <c r="N484" s="2"/>
      <c r="O484" s="2"/>
      <c r="P484" s="2"/>
      <c r="Q484" s="2"/>
    </row>
    <row r="485" spans="1:17" ht="13.2">
      <c r="A485" s="228">
        <v>45833</v>
      </c>
      <c r="B485" s="10">
        <v>1</v>
      </c>
      <c r="C485" s="10" t="s">
        <v>31</v>
      </c>
      <c r="D485" s="10" t="s">
        <v>31</v>
      </c>
      <c r="E485" s="10" t="s">
        <v>122</v>
      </c>
      <c r="F485" s="21">
        <v>10000</v>
      </c>
      <c r="G485" s="10">
        <f t="shared" si="10"/>
        <v>10000</v>
      </c>
      <c r="H485" s="2"/>
      <c r="I485" s="2"/>
      <c r="J485" s="2"/>
      <c r="K485" s="2"/>
      <c r="L485" s="2"/>
      <c r="M485" s="2"/>
      <c r="N485" s="2"/>
      <c r="O485" s="2"/>
      <c r="P485" s="2"/>
      <c r="Q485" s="2"/>
    </row>
    <row r="486" spans="1:17" ht="13.2">
      <c r="A486" s="228">
        <v>45833</v>
      </c>
      <c r="B486" s="10">
        <v>1</v>
      </c>
      <c r="C486" s="10" t="s">
        <v>40</v>
      </c>
      <c r="D486" s="10" t="s">
        <v>40</v>
      </c>
      <c r="E486" s="10" t="s">
        <v>116</v>
      </c>
      <c r="F486" s="21">
        <v>40</v>
      </c>
      <c r="G486" s="10">
        <f t="shared" si="10"/>
        <v>40</v>
      </c>
      <c r="H486" s="2"/>
      <c r="I486" s="2"/>
      <c r="J486" s="2"/>
      <c r="K486" s="2"/>
      <c r="L486" s="2"/>
      <c r="M486" s="2"/>
      <c r="N486" s="2"/>
      <c r="O486" s="2"/>
      <c r="P486" s="2"/>
      <c r="Q486" s="2"/>
    </row>
    <row r="487" spans="1:17" ht="13.2">
      <c r="A487" s="228">
        <v>45833</v>
      </c>
      <c r="B487" s="10">
        <v>1</v>
      </c>
      <c r="C487" s="10" t="s">
        <v>31</v>
      </c>
      <c r="D487" s="10" t="s">
        <v>31</v>
      </c>
      <c r="E487" s="10" t="s">
        <v>117</v>
      </c>
      <c r="F487" s="21">
        <v>650</v>
      </c>
      <c r="G487" s="10">
        <f t="shared" si="10"/>
        <v>650</v>
      </c>
      <c r="H487" s="2"/>
      <c r="I487" s="2"/>
      <c r="J487" s="2"/>
      <c r="K487" s="2"/>
      <c r="L487" s="2"/>
      <c r="M487" s="2"/>
      <c r="N487" s="2"/>
      <c r="O487" s="2"/>
      <c r="P487" s="2"/>
      <c r="Q487" s="2"/>
    </row>
    <row r="488" spans="1:17" ht="13.2">
      <c r="A488" s="228">
        <v>45833</v>
      </c>
      <c r="B488" s="10">
        <v>2</v>
      </c>
      <c r="C488" s="10" t="s">
        <v>254</v>
      </c>
      <c r="D488" s="10" t="s">
        <v>31</v>
      </c>
      <c r="E488" s="10" t="s">
        <v>118</v>
      </c>
      <c r="F488" s="21">
        <v>146</v>
      </c>
      <c r="G488" s="10">
        <f t="shared" si="10"/>
        <v>292</v>
      </c>
      <c r="H488" s="2"/>
      <c r="I488" s="2"/>
      <c r="J488" s="2"/>
      <c r="K488" s="2"/>
      <c r="L488" s="2"/>
      <c r="M488" s="2"/>
      <c r="N488" s="2"/>
      <c r="O488" s="2"/>
      <c r="P488" s="2"/>
      <c r="Q488" s="2"/>
    </row>
    <row r="489" spans="1:17" ht="13.2">
      <c r="A489" s="228">
        <v>45833</v>
      </c>
      <c r="B489" s="10">
        <v>1</v>
      </c>
      <c r="C489" s="10" t="s">
        <v>31</v>
      </c>
      <c r="D489" s="10" t="s">
        <v>31</v>
      </c>
      <c r="E489" s="10" t="s">
        <v>119</v>
      </c>
      <c r="F489" s="21">
        <v>430</v>
      </c>
      <c r="G489" s="10">
        <f t="shared" si="10"/>
        <v>430</v>
      </c>
      <c r="H489" s="2"/>
      <c r="I489" s="2"/>
      <c r="J489" s="2"/>
      <c r="K489" s="2"/>
      <c r="L489" s="2"/>
      <c r="M489" s="2"/>
      <c r="N489" s="2"/>
      <c r="O489" s="2"/>
      <c r="P489" s="2"/>
      <c r="Q489" s="2"/>
    </row>
    <row r="490" spans="1:17" ht="13.2">
      <c r="A490" s="228">
        <v>45833</v>
      </c>
      <c r="B490" s="10">
        <v>1</v>
      </c>
      <c r="C490" s="10" t="s">
        <v>194</v>
      </c>
      <c r="D490" s="10" t="s">
        <v>31</v>
      </c>
      <c r="E490" s="10" t="s">
        <v>120</v>
      </c>
      <c r="F490" s="21">
        <v>80</v>
      </c>
      <c r="G490" s="10">
        <f t="shared" si="10"/>
        <v>80</v>
      </c>
      <c r="H490" s="2"/>
      <c r="I490" s="2"/>
      <c r="J490" s="2"/>
      <c r="K490" s="2"/>
      <c r="L490" s="2"/>
      <c r="M490" s="2"/>
      <c r="N490" s="2"/>
      <c r="O490" s="2"/>
      <c r="P490" s="2"/>
      <c r="Q490" s="2"/>
    </row>
    <row r="491" spans="1:17" ht="13.2">
      <c r="A491" s="228">
        <v>45833</v>
      </c>
      <c r="B491" s="10">
        <v>2</v>
      </c>
      <c r="C491" s="10" t="s">
        <v>194</v>
      </c>
      <c r="D491" s="10" t="s">
        <v>31</v>
      </c>
      <c r="E491" s="10" t="s">
        <v>121</v>
      </c>
      <c r="F491" s="21">
        <v>74</v>
      </c>
      <c r="G491" s="10">
        <f t="shared" si="10"/>
        <v>148</v>
      </c>
      <c r="H491" s="2"/>
      <c r="I491" s="2"/>
      <c r="J491" s="2"/>
      <c r="K491" s="2"/>
      <c r="L491" s="2"/>
      <c r="M491" s="2"/>
      <c r="N491" s="2"/>
      <c r="O491" s="2"/>
      <c r="P491" s="2"/>
      <c r="Q491" s="2"/>
    </row>
    <row r="492" spans="1:17" ht="13.2">
      <c r="A492" s="228">
        <v>45833</v>
      </c>
      <c r="B492" s="10">
        <v>1</v>
      </c>
      <c r="C492" s="10" t="s">
        <v>194</v>
      </c>
      <c r="D492" s="10" t="s">
        <v>31</v>
      </c>
      <c r="E492" s="10" t="s">
        <v>287</v>
      </c>
      <c r="F492" s="21">
        <v>80</v>
      </c>
      <c r="G492" s="10">
        <f t="shared" si="10"/>
        <v>80</v>
      </c>
      <c r="H492" s="2"/>
      <c r="I492" s="2"/>
      <c r="J492" s="2"/>
      <c r="K492" s="2"/>
      <c r="L492" s="2"/>
      <c r="M492" s="2"/>
      <c r="N492" s="2"/>
      <c r="O492" s="2"/>
      <c r="P492" s="2"/>
      <c r="Q492" s="2"/>
    </row>
    <row r="493" spans="1:17" ht="13.2">
      <c r="A493" s="228">
        <v>45833</v>
      </c>
      <c r="B493" s="10">
        <v>4</v>
      </c>
      <c r="C493" s="10" t="s">
        <v>288</v>
      </c>
      <c r="D493" s="10" t="s">
        <v>31</v>
      </c>
      <c r="E493" s="10" t="s">
        <v>48</v>
      </c>
      <c r="F493" s="21">
        <v>128.47999999999999</v>
      </c>
      <c r="G493" s="10">
        <f t="shared" si="10"/>
        <v>513.91999999999996</v>
      </c>
      <c r="H493" s="2"/>
      <c r="I493" s="2"/>
      <c r="J493" s="2"/>
      <c r="K493" s="2"/>
      <c r="L493" s="2"/>
      <c r="M493" s="2"/>
      <c r="N493" s="2"/>
      <c r="O493" s="2"/>
      <c r="P493" s="2"/>
      <c r="Q493" s="2"/>
    </row>
    <row r="494" spans="1:17" ht="13.2">
      <c r="A494" s="228">
        <v>45833</v>
      </c>
      <c r="B494" s="10">
        <v>1</v>
      </c>
      <c r="C494" s="10" t="s">
        <v>288</v>
      </c>
      <c r="D494" s="10" t="s">
        <v>31</v>
      </c>
      <c r="E494" s="10" t="s">
        <v>49</v>
      </c>
      <c r="F494" s="21">
        <v>146.9</v>
      </c>
      <c r="G494" s="10">
        <f t="shared" si="10"/>
        <v>146.9</v>
      </c>
      <c r="H494" s="2"/>
      <c r="I494" s="2"/>
      <c r="J494" s="2"/>
      <c r="K494" s="2"/>
      <c r="L494" s="2"/>
      <c r="M494" s="2"/>
      <c r="N494" s="2"/>
      <c r="O494" s="2"/>
      <c r="P494" s="2"/>
      <c r="Q494" s="2"/>
    </row>
    <row r="495" spans="1:17" ht="13.2">
      <c r="A495" s="228">
        <v>45833</v>
      </c>
      <c r="B495" s="10">
        <v>1</v>
      </c>
      <c r="C495" s="10" t="s">
        <v>254</v>
      </c>
      <c r="D495" s="10" t="s">
        <v>31</v>
      </c>
      <c r="E495" s="10" t="s">
        <v>289</v>
      </c>
      <c r="F495" s="21">
        <v>80</v>
      </c>
      <c r="G495" s="10">
        <f t="shared" si="10"/>
        <v>80</v>
      </c>
      <c r="H495" s="2"/>
      <c r="I495" s="2"/>
      <c r="J495" s="2"/>
      <c r="K495" s="2"/>
      <c r="L495" s="2"/>
      <c r="M495" s="2"/>
      <c r="N495" s="2"/>
      <c r="O495" s="2"/>
      <c r="P495" s="2"/>
      <c r="Q495" s="2"/>
    </row>
    <row r="496" spans="1:17" ht="13.2">
      <c r="A496" s="42">
        <v>45833</v>
      </c>
      <c r="B496" s="10">
        <v>1</v>
      </c>
      <c r="C496" s="10" t="s">
        <v>193</v>
      </c>
      <c r="D496" s="10" t="s">
        <v>31</v>
      </c>
      <c r="E496" s="10" t="s">
        <v>50</v>
      </c>
      <c r="F496" s="10">
        <v>300</v>
      </c>
      <c r="G496" s="10">
        <f t="shared" si="10"/>
        <v>300</v>
      </c>
      <c r="H496" s="2"/>
      <c r="I496" s="2"/>
      <c r="J496" s="43"/>
      <c r="K496" s="2"/>
      <c r="L496" s="2"/>
      <c r="M496" s="2"/>
      <c r="N496" s="2"/>
      <c r="O496" s="2"/>
      <c r="P496" s="2"/>
      <c r="Q496" s="2"/>
    </row>
    <row r="497" spans="1:17" ht="13.2">
      <c r="A497" s="42">
        <v>45833</v>
      </c>
      <c r="B497" s="10">
        <v>1</v>
      </c>
      <c r="C497" s="10" t="s">
        <v>193</v>
      </c>
      <c r="D497" s="10" t="s">
        <v>31</v>
      </c>
      <c r="E497" s="10" t="s">
        <v>51</v>
      </c>
      <c r="F497" s="10">
        <v>300</v>
      </c>
      <c r="G497" s="10">
        <f t="shared" si="10"/>
        <v>300</v>
      </c>
      <c r="H497" s="2"/>
      <c r="I497" s="2"/>
      <c r="J497" s="2"/>
      <c r="K497" s="2"/>
      <c r="L497" s="2"/>
      <c r="M497" s="2"/>
      <c r="N497" s="2"/>
      <c r="O497" s="2"/>
      <c r="P497" s="2"/>
      <c r="Q497" s="2"/>
    </row>
    <row r="498" spans="1:17" ht="13.2">
      <c r="A498" s="42">
        <v>45833</v>
      </c>
      <c r="B498" s="10">
        <v>1</v>
      </c>
      <c r="C498" s="10" t="s">
        <v>193</v>
      </c>
      <c r="D498" s="10" t="s">
        <v>31</v>
      </c>
      <c r="E498" s="10" t="s">
        <v>52</v>
      </c>
      <c r="F498" s="10">
        <v>100</v>
      </c>
      <c r="G498" s="10">
        <f t="shared" si="10"/>
        <v>100</v>
      </c>
      <c r="H498" s="2"/>
      <c r="I498" s="2"/>
      <c r="J498" s="2"/>
      <c r="K498" s="2"/>
      <c r="L498" s="2"/>
      <c r="M498" s="2"/>
      <c r="N498" s="2"/>
      <c r="O498" s="2"/>
      <c r="P498" s="2"/>
      <c r="Q498" s="2"/>
    </row>
    <row r="499" spans="1:17" ht="13.2">
      <c r="A499" s="42">
        <v>45833</v>
      </c>
      <c r="B499" s="10">
        <v>1</v>
      </c>
      <c r="C499" s="10" t="s">
        <v>193</v>
      </c>
      <c r="D499" s="10" t="s">
        <v>31</v>
      </c>
      <c r="E499" s="10" t="s">
        <v>53</v>
      </c>
      <c r="F499" s="10">
        <v>160</v>
      </c>
      <c r="G499" s="10">
        <f t="shared" si="10"/>
        <v>160</v>
      </c>
      <c r="H499" s="2"/>
      <c r="I499" s="2"/>
      <c r="J499" s="2"/>
      <c r="K499" s="2"/>
      <c r="L499" s="2"/>
      <c r="M499" s="2"/>
      <c r="N499" s="2"/>
      <c r="O499" s="2"/>
      <c r="P499" s="2"/>
      <c r="Q499" s="2"/>
    </row>
    <row r="500" spans="1:17" ht="13.2">
      <c r="A500" s="42">
        <v>45833</v>
      </c>
      <c r="B500" s="10">
        <v>1</v>
      </c>
      <c r="C500" s="10" t="s">
        <v>193</v>
      </c>
      <c r="D500" s="10" t="s">
        <v>31</v>
      </c>
      <c r="E500" s="10" t="s">
        <v>54</v>
      </c>
      <c r="F500" s="10">
        <v>100</v>
      </c>
      <c r="G500" s="10">
        <f t="shared" si="10"/>
        <v>100</v>
      </c>
      <c r="H500" s="2"/>
      <c r="I500" s="2"/>
      <c r="J500" s="2"/>
      <c r="K500" s="2"/>
      <c r="L500" s="2"/>
      <c r="M500" s="2"/>
      <c r="N500" s="2"/>
      <c r="O500" s="2"/>
      <c r="P500" s="2"/>
      <c r="Q500" s="2"/>
    </row>
    <row r="501" spans="1:17" ht="13.2">
      <c r="A501" s="42">
        <v>45835</v>
      </c>
      <c r="B501" s="21">
        <v>2</v>
      </c>
      <c r="C501" s="10" t="s">
        <v>60</v>
      </c>
      <c r="D501" s="10" t="s">
        <v>23</v>
      </c>
      <c r="E501" s="10" t="s">
        <v>308</v>
      </c>
      <c r="F501" s="10">
        <v>50</v>
      </c>
      <c r="G501" s="10">
        <f t="shared" si="10"/>
        <v>100</v>
      </c>
      <c r="H501" s="2"/>
      <c r="I501" s="2"/>
      <c r="J501" s="2"/>
      <c r="K501" s="2"/>
      <c r="L501" s="2"/>
      <c r="M501" s="2"/>
      <c r="N501" s="2"/>
      <c r="O501" s="2"/>
      <c r="P501" s="2"/>
      <c r="Q501" s="2"/>
    </row>
    <row r="502" spans="1:17" ht="13.2">
      <c r="A502" s="42">
        <v>45835</v>
      </c>
      <c r="B502" s="21">
        <v>1</v>
      </c>
      <c r="C502" s="10" t="s">
        <v>60</v>
      </c>
      <c r="D502" s="10" t="s">
        <v>23</v>
      </c>
      <c r="E502" s="10" t="s">
        <v>113</v>
      </c>
      <c r="F502" s="10">
        <v>31.5</v>
      </c>
      <c r="G502" s="10">
        <f t="shared" si="10"/>
        <v>31.5</v>
      </c>
      <c r="H502" s="2"/>
      <c r="I502" s="2"/>
      <c r="J502" s="2"/>
      <c r="K502" s="2"/>
      <c r="L502" s="2"/>
      <c r="M502" s="2"/>
      <c r="N502" s="2"/>
      <c r="O502" s="2"/>
      <c r="P502" s="2"/>
      <c r="Q502" s="2"/>
    </row>
    <row r="503" spans="1:17" ht="13.2">
      <c r="A503" s="42">
        <v>45836</v>
      </c>
      <c r="B503" s="21">
        <v>1</v>
      </c>
      <c r="C503" s="10" t="s">
        <v>31</v>
      </c>
      <c r="D503" s="10" t="s">
        <v>23</v>
      </c>
      <c r="E503" s="10" t="s">
        <v>7</v>
      </c>
      <c r="F503" s="10">
        <v>102</v>
      </c>
      <c r="G503" s="10">
        <f t="shared" si="10"/>
        <v>102</v>
      </c>
      <c r="H503" s="2"/>
      <c r="I503" s="2"/>
      <c r="J503" s="2"/>
      <c r="K503" s="2"/>
      <c r="L503" s="2"/>
      <c r="M503" s="2"/>
      <c r="N503" s="2"/>
      <c r="O503" s="2"/>
      <c r="P503" s="2"/>
      <c r="Q503" s="2"/>
    </row>
    <row r="504" spans="1:17" ht="13.2">
      <c r="A504" s="42">
        <v>45838</v>
      </c>
      <c r="B504" s="21">
        <v>1</v>
      </c>
      <c r="C504" s="10" t="s">
        <v>123</v>
      </c>
      <c r="D504" s="10" t="s">
        <v>23</v>
      </c>
      <c r="E504" s="10" t="s">
        <v>309</v>
      </c>
      <c r="F504" s="10">
        <v>2243.9</v>
      </c>
      <c r="G504" s="10">
        <f t="shared" si="10"/>
        <v>2243.9</v>
      </c>
      <c r="H504" s="2"/>
      <c r="I504" s="2"/>
      <c r="J504" s="2"/>
      <c r="K504" s="2"/>
      <c r="L504" s="2"/>
      <c r="M504" s="2"/>
      <c r="N504" s="2"/>
      <c r="O504" s="2"/>
      <c r="P504" s="2"/>
      <c r="Q504" s="2"/>
    </row>
    <row r="505" spans="1:17" ht="13.2">
      <c r="A505" s="42">
        <v>45838</v>
      </c>
      <c r="B505" s="21">
        <v>1</v>
      </c>
      <c r="C505" s="10" t="s">
        <v>40</v>
      </c>
      <c r="D505" s="10" t="s">
        <v>40</v>
      </c>
      <c r="E505" s="21" t="s">
        <v>173</v>
      </c>
      <c r="F505" s="10">
        <v>1785</v>
      </c>
      <c r="G505" s="10">
        <f t="shared" si="10"/>
        <v>1785</v>
      </c>
      <c r="H505" s="2"/>
      <c r="I505" s="2"/>
      <c r="J505" s="2"/>
      <c r="K505" s="2"/>
      <c r="L505" s="2"/>
      <c r="M505" s="2"/>
      <c r="N505" s="2"/>
      <c r="O505" s="2"/>
      <c r="P505" s="2"/>
      <c r="Q505" s="2"/>
    </row>
    <row r="506" spans="1:17" ht="13.2">
      <c r="A506" s="42">
        <v>45838</v>
      </c>
      <c r="B506" s="21">
        <v>1</v>
      </c>
      <c r="C506" s="10" t="s">
        <v>40</v>
      </c>
      <c r="D506" s="10" t="s">
        <v>40</v>
      </c>
      <c r="E506" s="21" t="s">
        <v>182</v>
      </c>
      <c r="F506" s="10">
        <v>975</v>
      </c>
      <c r="G506" s="10">
        <f t="shared" si="10"/>
        <v>975</v>
      </c>
      <c r="H506" s="2"/>
      <c r="I506" s="2"/>
      <c r="J506" s="2"/>
      <c r="K506" s="2"/>
      <c r="L506" s="2"/>
      <c r="M506" s="2"/>
      <c r="N506" s="2"/>
      <c r="O506" s="2"/>
      <c r="P506" s="2"/>
      <c r="Q506" s="2"/>
    </row>
    <row r="507" spans="1:17" ht="13.2">
      <c r="A507" s="42">
        <v>45838</v>
      </c>
      <c r="B507" s="21">
        <v>1</v>
      </c>
      <c r="C507" s="10" t="s">
        <v>40</v>
      </c>
      <c r="D507" s="10" t="s">
        <v>40</v>
      </c>
      <c r="E507" s="10" t="s">
        <v>161</v>
      </c>
      <c r="F507" s="10">
        <v>1286.25</v>
      </c>
      <c r="G507" s="10">
        <f t="shared" si="10"/>
        <v>1286.25</v>
      </c>
      <c r="H507" s="2"/>
      <c r="I507" s="2"/>
      <c r="J507" s="2"/>
      <c r="K507" s="2"/>
      <c r="L507" s="2"/>
      <c r="M507" s="2"/>
      <c r="N507" s="2"/>
      <c r="O507" s="2"/>
      <c r="P507" s="2"/>
      <c r="Q507" s="2"/>
    </row>
    <row r="508" spans="1:17" ht="13.2">
      <c r="A508" s="42">
        <v>45838</v>
      </c>
      <c r="B508" s="21">
        <v>1</v>
      </c>
      <c r="C508" s="10" t="s">
        <v>40</v>
      </c>
      <c r="D508" s="10" t="s">
        <v>40</v>
      </c>
      <c r="E508" s="21" t="s">
        <v>221</v>
      </c>
      <c r="F508" s="10">
        <v>112.5</v>
      </c>
      <c r="G508" s="10">
        <f t="shared" si="10"/>
        <v>112.5</v>
      </c>
      <c r="H508" s="2"/>
      <c r="I508" s="2"/>
      <c r="J508" s="2"/>
      <c r="K508" s="2"/>
      <c r="L508" s="2"/>
      <c r="M508" s="2"/>
      <c r="N508" s="2"/>
      <c r="O508" s="2"/>
      <c r="P508" s="2"/>
      <c r="Q508" s="2"/>
    </row>
    <row r="509" spans="1:17" ht="13.2">
      <c r="A509" s="42">
        <v>45838</v>
      </c>
      <c r="B509" s="21">
        <v>1</v>
      </c>
      <c r="C509" s="10" t="s">
        <v>22</v>
      </c>
      <c r="D509" s="10" t="s">
        <v>23</v>
      </c>
      <c r="E509" s="21" t="s">
        <v>84</v>
      </c>
      <c r="F509" s="10">
        <v>462.43</v>
      </c>
      <c r="G509" s="10">
        <f t="shared" ref="G509:G518" si="11">F509*B509+(F509*B509*0.4)</f>
        <v>647.40200000000004</v>
      </c>
      <c r="H509" s="2"/>
      <c r="I509" s="27"/>
      <c r="J509" s="2"/>
      <c r="K509" s="2"/>
      <c r="L509" s="2"/>
      <c r="M509" s="2"/>
      <c r="N509" s="2"/>
      <c r="O509" s="2"/>
      <c r="P509" s="2"/>
      <c r="Q509" s="2"/>
    </row>
    <row r="510" spans="1:17" ht="13.2">
      <c r="A510" s="42">
        <v>45838</v>
      </c>
      <c r="B510" s="21">
        <v>1</v>
      </c>
      <c r="C510" s="10" t="s">
        <v>253</v>
      </c>
      <c r="D510" s="10" t="s">
        <v>23</v>
      </c>
      <c r="E510" s="21" t="s">
        <v>84</v>
      </c>
      <c r="F510" s="10">
        <f t="shared" ref="F510:F511" si="12">462.43/2</f>
        <v>231.215</v>
      </c>
      <c r="G510" s="10">
        <f t="shared" si="11"/>
        <v>323.70100000000002</v>
      </c>
      <c r="H510" s="2"/>
      <c r="I510" s="2"/>
      <c r="J510" s="2"/>
      <c r="K510" s="2"/>
      <c r="L510" s="2"/>
      <c r="M510" s="2"/>
      <c r="N510" s="2"/>
      <c r="O510" s="2"/>
      <c r="P510" s="2"/>
      <c r="Q510" s="2"/>
    </row>
    <row r="511" spans="1:17" ht="13.2">
      <c r="A511" s="42">
        <v>45838</v>
      </c>
      <c r="B511" s="21">
        <v>1</v>
      </c>
      <c r="C511" s="10" t="s">
        <v>283</v>
      </c>
      <c r="D511" s="10" t="s">
        <v>23</v>
      </c>
      <c r="E511" s="21" t="s">
        <v>84</v>
      </c>
      <c r="F511" s="10">
        <f t="shared" si="12"/>
        <v>231.215</v>
      </c>
      <c r="G511" s="10">
        <f t="shared" si="11"/>
        <v>323.70100000000002</v>
      </c>
      <c r="H511" s="2"/>
      <c r="I511" s="2"/>
      <c r="J511" s="2"/>
      <c r="K511" s="2"/>
      <c r="L511" s="2"/>
      <c r="M511" s="2"/>
      <c r="N511" s="2"/>
      <c r="O511" s="2"/>
      <c r="P511" s="2"/>
      <c r="Q511" s="2"/>
    </row>
    <row r="512" spans="1:17" ht="13.2">
      <c r="A512" s="42">
        <v>45838</v>
      </c>
      <c r="B512" s="21">
        <v>1</v>
      </c>
      <c r="C512" s="10" t="s">
        <v>252</v>
      </c>
      <c r="D512" s="10" t="s">
        <v>23</v>
      </c>
      <c r="E512" s="21" t="s">
        <v>84</v>
      </c>
      <c r="F512" s="10">
        <v>1486.84</v>
      </c>
      <c r="G512" s="10">
        <f t="shared" si="11"/>
        <v>2081.576</v>
      </c>
      <c r="H512" s="2"/>
      <c r="I512" s="2"/>
      <c r="J512" s="2"/>
      <c r="K512" s="2"/>
      <c r="L512" s="2"/>
      <c r="M512" s="2"/>
      <c r="N512" s="2"/>
      <c r="O512" s="2"/>
      <c r="P512" s="2"/>
      <c r="Q512" s="2"/>
    </row>
    <row r="513" spans="1:17" ht="13.2">
      <c r="A513" s="42">
        <v>45838</v>
      </c>
      <c r="B513" s="21">
        <v>1</v>
      </c>
      <c r="C513" s="10" t="s">
        <v>33</v>
      </c>
      <c r="D513" s="10" t="s">
        <v>23</v>
      </c>
      <c r="E513" s="21" t="s">
        <v>84</v>
      </c>
      <c r="F513" s="10">
        <v>318.66000000000003</v>
      </c>
      <c r="G513" s="10">
        <f t="shared" si="11"/>
        <v>446.12400000000002</v>
      </c>
      <c r="H513" s="2"/>
      <c r="I513" s="2"/>
      <c r="J513" s="2"/>
      <c r="K513" s="2"/>
      <c r="L513" s="2"/>
      <c r="M513" s="2"/>
      <c r="N513" s="2"/>
      <c r="O513" s="2"/>
      <c r="P513" s="2"/>
      <c r="Q513" s="2"/>
    </row>
    <row r="514" spans="1:17" ht="13.2">
      <c r="A514" s="42">
        <v>45838</v>
      </c>
      <c r="B514" s="21">
        <v>1</v>
      </c>
      <c r="C514" s="10" t="s">
        <v>205</v>
      </c>
      <c r="D514" s="10" t="s">
        <v>23</v>
      </c>
      <c r="E514" s="21" t="s">
        <v>84</v>
      </c>
      <c r="F514" s="10">
        <f t="shared" ref="F514:F516" si="13">740.96/3</f>
        <v>246.98666666666668</v>
      </c>
      <c r="G514" s="10">
        <f t="shared" si="11"/>
        <v>345.78133333333335</v>
      </c>
      <c r="H514" s="2"/>
      <c r="I514" s="2"/>
      <c r="J514" s="2"/>
      <c r="K514" s="2"/>
      <c r="L514" s="2"/>
      <c r="M514" s="2"/>
      <c r="N514" s="2"/>
      <c r="O514" s="2"/>
      <c r="P514" s="2"/>
      <c r="Q514" s="2"/>
    </row>
    <row r="515" spans="1:17" ht="13.2">
      <c r="A515" s="42">
        <v>45838</v>
      </c>
      <c r="B515" s="21">
        <v>1</v>
      </c>
      <c r="C515" s="10" t="s">
        <v>35</v>
      </c>
      <c r="D515" s="10" t="s">
        <v>23</v>
      </c>
      <c r="E515" s="21" t="s">
        <v>84</v>
      </c>
      <c r="F515" s="10">
        <f t="shared" si="13"/>
        <v>246.98666666666668</v>
      </c>
      <c r="G515" s="10">
        <f t="shared" si="11"/>
        <v>345.78133333333335</v>
      </c>
      <c r="H515" s="2"/>
      <c r="I515" s="27"/>
      <c r="J515" s="2"/>
      <c r="K515" s="2"/>
      <c r="L515" s="2"/>
      <c r="M515" s="2"/>
      <c r="N515" s="2"/>
      <c r="O515" s="2"/>
      <c r="P515" s="2"/>
      <c r="Q515" s="2"/>
    </row>
    <row r="516" spans="1:17" ht="13.2">
      <c r="A516" s="42">
        <v>45838</v>
      </c>
      <c r="B516" s="21">
        <v>1</v>
      </c>
      <c r="C516" s="10" t="s">
        <v>284</v>
      </c>
      <c r="D516" s="10" t="s">
        <v>23</v>
      </c>
      <c r="E516" s="21" t="s">
        <v>84</v>
      </c>
      <c r="F516" s="10">
        <f t="shared" si="13"/>
        <v>246.98666666666668</v>
      </c>
      <c r="G516" s="10">
        <f t="shared" si="11"/>
        <v>345.78133333333335</v>
      </c>
      <c r="H516" s="2"/>
      <c r="I516" s="2"/>
      <c r="J516" s="2"/>
      <c r="K516" s="2"/>
      <c r="L516" s="2"/>
      <c r="M516" s="2"/>
      <c r="N516" s="2"/>
      <c r="O516" s="2"/>
      <c r="P516" s="2"/>
      <c r="Q516" s="2"/>
    </row>
    <row r="517" spans="1:17" ht="13.2">
      <c r="A517" s="42">
        <v>45838</v>
      </c>
      <c r="B517" s="21">
        <v>1</v>
      </c>
      <c r="C517" s="10" t="s">
        <v>56</v>
      </c>
      <c r="D517" s="10" t="s">
        <v>56</v>
      </c>
      <c r="E517" s="21" t="s">
        <v>84</v>
      </c>
      <c r="F517" s="10">
        <v>992.24</v>
      </c>
      <c r="G517" s="10">
        <f t="shared" si="11"/>
        <v>1389.136</v>
      </c>
      <c r="H517" s="2"/>
      <c r="I517" s="2"/>
      <c r="J517" s="2"/>
      <c r="K517" s="2"/>
      <c r="L517" s="2"/>
      <c r="M517" s="2"/>
      <c r="N517" s="2"/>
      <c r="O517" s="2"/>
      <c r="P517" s="2"/>
      <c r="Q517" s="2"/>
    </row>
    <row r="518" spans="1:17" ht="13.2">
      <c r="A518" s="42">
        <v>45838</v>
      </c>
      <c r="B518" s="21">
        <v>1</v>
      </c>
      <c r="C518" s="10" t="s">
        <v>40</v>
      </c>
      <c r="D518" s="10" t="s">
        <v>40</v>
      </c>
      <c r="E518" s="21" t="s">
        <v>84</v>
      </c>
      <c r="F518" s="10">
        <f>273.66+1714.78</f>
        <v>1988.44</v>
      </c>
      <c r="G518" s="10">
        <f t="shared" si="11"/>
        <v>2783.8160000000003</v>
      </c>
      <c r="H518" s="2"/>
      <c r="I518" s="2"/>
      <c r="J518" s="2"/>
      <c r="K518" s="2"/>
      <c r="L518" s="2"/>
      <c r="M518" s="2"/>
      <c r="N518" s="2"/>
      <c r="O518" s="2"/>
      <c r="P518" s="2"/>
      <c r="Q518" s="2"/>
    </row>
    <row r="519" spans="1:17" ht="13.2">
      <c r="A519" s="42">
        <v>45838</v>
      </c>
      <c r="B519" s="21">
        <v>1</v>
      </c>
      <c r="C519" s="10" t="s">
        <v>60</v>
      </c>
      <c r="D519" s="10" t="s">
        <v>23</v>
      </c>
      <c r="E519" s="23" t="s">
        <v>165</v>
      </c>
      <c r="F519" s="10">
        <v>569.12</v>
      </c>
      <c r="G519" s="10">
        <f t="shared" ref="G519:G631" si="14">F519*B519</f>
        <v>569.12</v>
      </c>
      <c r="H519" s="2"/>
      <c r="I519" s="2"/>
      <c r="J519" s="2"/>
      <c r="K519" s="2"/>
      <c r="L519" s="2"/>
      <c r="M519" s="2"/>
      <c r="N519" s="2"/>
      <c r="O519" s="2"/>
      <c r="P519" s="2"/>
      <c r="Q519" s="2"/>
    </row>
    <row r="520" spans="1:17" ht="13.2">
      <c r="A520" s="42">
        <v>45838</v>
      </c>
      <c r="B520" s="21">
        <v>1</v>
      </c>
      <c r="C520" s="10" t="s">
        <v>60</v>
      </c>
      <c r="D520" s="10" t="s">
        <v>23</v>
      </c>
      <c r="E520" s="23" t="s">
        <v>201</v>
      </c>
      <c r="F520" s="10">
        <v>365.6</v>
      </c>
      <c r="G520" s="10">
        <f t="shared" si="14"/>
        <v>365.6</v>
      </c>
      <c r="H520" s="2"/>
      <c r="I520" s="2"/>
      <c r="J520" s="2"/>
      <c r="K520" s="2"/>
      <c r="L520" s="2"/>
      <c r="M520" s="2"/>
      <c r="N520" s="2"/>
      <c r="O520" s="2"/>
      <c r="P520" s="2"/>
      <c r="Q520" s="2"/>
    </row>
    <row r="521" spans="1:17" ht="13.2">
      <c r="A521" s="42">
        <v>45838</v>
      </c>
      <c r="B521" s="21">
        <v>1</v>
      </c>
      <c r="C521" s="10" t="s">
        <v>60</v>
      </c>
      <c r="D521" s="10" t="s">
        <v>23</v>
      </c>
      <c r="E521" s="21" t="s">
        <v>160</v>
      </c>
      <c r="F521" s="10">
        <v>446.73</v>
      </c>
      <c r="G521" s="10">
        <f t="shared" si="14"/>
        <v>446.73</v>
      </c>
      <c r="H521" s="2"/>
      <c r="I521" s="2"/>
      <c r="J521" s="2"/>
      <c r="K521" s="2"/>
      <c r="L521" s="2"/>
      <c r="M521" s="2"/>
      <c r="N521" s="2"/>
      <c r="O521" s="2"/>
      <c r="P521" s="2"/>
      <c r="Q521" s="2"/>
    </row>
    <row r="522" spans="1:17" ht="13.2">
      <c r="A522" s="42">
        <v>45838</v>
      </c>
      <c r="B522" s="10">
        <v>1</v>
      </c>
      <c r="C522" s="10" t="s">
        <v>55</v>
      </c>
      <c r="D522" s="10" t="s">
        <v>31</v>
      </c>
      <c r="E522" s="10" t="s">
        <v>202</v>
      </c>
      <c r="F522" s="21">
        <f>1646.77+100</f>
        <v>1746.77</v>
      </c>
      <c r="G522" s="10">
        <f t="shared" si="14"/>
        <v>1746.77</v>
      </c>
      <c r="H522" s="2"/>
      <c r="I522" s="2"/>
      <c r="J522" s="2"/>
      <c r="K522" s="2"/>
      <c r="L522" s="2"/>
      <c r="M522" s="2"/>
      <c r="N522" s="2"/>
      <c r="O522" s="2"/>
      <c r="P522" s="2"/>
      <c r="Q522" s="2"/>
    </row>
    <row r="523" spans="1:17" ht="13.2">
      <c r="A523" s="42">
        <v>45838</v>
      </c>
      <c r="B523" s="10">
        <v>1</v>
      </c>
      <c r="C523" s="10" t="s">
        <v>55</v>
      </c>
      <c r="D523" s="10" t="s">
        <v>31</v>
      </c>
      <c r="E523" s="10" t="s">
        <v>196</v>
      </c>
      <c r="F523" s="21">
        <v>1412.15</v>
      </c>
      <c r="G523" s="10">
        <f t="shared" si="14"/>
        <v>1412.15</v>
      </c>
      <c r="H523" s="2"/>
      <c r="I523" s="2"/>
      <c r="J523" s="2"/>
      <c r="K523" s="2"/>
      <c r="L523" s="2"/>
      <c r="M523" s="2"/>
      <c r="N523" s="2"/>
      <c r="O523" s="2"/>
      <c r="P523" s="2"/>
      <c r="Q523" s="2"/>
    </row>
    <row r="524" spans="1:17" ht="13.2">
      <c r="A524" s="42">
        <v>45838</v>
      </c>
      <c r="B524" s="10">
        <v>1</v>
      </c>
      <c r="C524" s="10" t="s">
        <v>55</v>
      </c>
      <c r="D524" s="10" t="s">
        <v>31</v>
      </c>
      <c r="E524" s="10" t="s">
        <v>197</v>
      </c>
      <c r="F524" s="21">
        <v>1048.5999999999999</v>
      </c>
      <c r="G524" s="10">
        <f t="shared" si="14"/>
        <v>1048.5999999999999</v>
      </c>
      <c r="H524" s="2"/>
      <c r="I524" s="2"/>
      <c r="J524" s="2"/>
      <c r="K524" s="2"/>
      <c r="L524" s="2"/>
      <c r="M524" s="2"/>
      <c r="N524" s="2"/>
      <c r="O524" s="2"/>
      <c r="P524" s="2"/>
      <c r="Q524" s="2"/>
    </row>
    <row r="525" spans="1:17" ht="13.2">
      <c r="A525" s="42">
        <v>45838</v>
      </c>
      <c r="B525" s="10">
        <v>1</v>
      </c>
      <c r="C525" s="10" t="s">
        <v>55</v>
      </c>
      <c r="D525" s="10" t="s">
        <v>56</v>
      </c>
      <c r="E525" s="10" t="s">
        <v>251</v>
      </c>
      <c r="F525" s="21">
        <v>686.64</v>
      </c>
      <c r="G525" s="10">
        <f t="shared" si="14"/>
        <v>686.64</v>
      </c>
      <c r="H525" s="2"/>
      <c r="I525" s="2"/>
      <c r="J525" s="2"/>
      <c r="K525" s="2"/>
      <c r="L525" s="2"/>
      <c r="M525" s="2"/>
      <c r="N525" s="2"/>
      <c r="O525" s="2"/>
      <c r="P525" s="2"/>
      <c r="Q525" s="2"/>
    </row>
    <row r="526" spans="1:17" ht="13.2">
      <c r="A526" s="42">
        <v>45838</v>
      </c>
      <c r="B526" s="10">
        <v>1</v>
      </c>
      <c r="C526" s="10" t="s">
        <v>31</v>
      </c>
      <c r="D526" s="10" t="s">
        <v>31</v>
      </c>
      <c r="E526" s="10" t="s">
        <v>198</v>
      </c>
      <c r="F526" s="21">
        <f>1867.55+150</f>
        <v>2017.55</v>
      </c>
      <c r="G526" s="10">
        <f t="shared" si="14"/>
        <v>2017.55</v>
      </c>
      <c r="H526" s="2"/>
      <c r="I526" s="2"/>
      <c r="J526" s="2"/>
      <c r="K526" s="2"/>
      <c r="L526" s="2"/>
      <c r="M526" s="2"/>
      <c r="N526" s="2"/>
      <c r="O526" s="2"/>
      <c r="P526" s="2"/>
      <c r="Q526" s="2"/>
    </row>
    <row r="527" spans="1:17" ht="13.2">
      <c r="A527" s="42">
        <v>45838</v>
      </c>
      <c r="B527" s="10">
        <v>1</v>
      </c>
      <c r="C527" s="10" t="s">
        <v>31</v>
      </c>
      <c r="D527" s="10" t="s">
        <v>31</v>
      </c>
      <c r="E527" s="10" t="s">
        <v>250</v>
      </c>
      <c r="F527" s="21">
        <v>1600</v>
      </c>
      <c r="G527" s="10">
        <f t="shared" si="14"/>
        <v>1600</v>
      </c>
      <c r="H527" s="2"/>
      <c r="I527" s="2"/>
      <c r="J527" s="2"/>
      <c r="K527" s="2"/>
      <c r="L527" s="2"/>
      <c r="M527" s="2"/>
      <c r="N527" s="2"/>
      <c r="O527" s="2"/>
      <c r="P527" s="2"/>
      <c r="Q527" s="2"/>
    </row>
    <row r="528" spans="1:17" ht="13.2">
      <c r="A528" s="42">
        <v>45838</v>
      </c>
      <c r="B528" s="10">
        <v>1</v>
      </c>
      <c r="C528" s="10" t="s">
        <v>31</v>
      </c>
      <c r="D528" s="10" t="s">
        <v>31</v>
      </c>
      <c r="E528" s="10" t="s">
        <v>286</v>
      </c>
      <c r="F528" s="21">
        <v>2039.68</v>
      </c>
      <c r="G528" s="10">
        <f t="shared" si="14"/>
        <v>2039.68</v>
      </c>
      <c r="H528" s="2"/>
      <c r="I528" s="2"/>
      <c r="J528" s="2"/>
      <c r="K528" s="2"/>
      <c r="L528" s="2"/>
      <c r="M528" s="2"/>
      <c r="N528" s="2"/>
      <c r="O528" s="2"/>
      <c r="P528" s="2"/>
      <c r="Q528" s="2"/>
    </row>
    <row r="529" spans="1:22" ht="13.2">
      <c r="A529" s="42">
        <v>45839</v>
      </c>
      <c r="B529" s="10">
        <v>1</v>
      </c>
      <c r="C529" s="10" t="s">
        <v>25</v>
      </c>
      <c r="D529" s="10" t="s">
        <v>25</v>
      </c>
      <c r="E529" s="10" t="s">
        <v>310</v>
      </c>
      <c r="F529" s="21">
        <v>120</v>
      </c>
      <c r="G529" s="10">
        <f t="shared" si="14"/>
        <v>120</v>
      </c>
      <c r="H529" s="2"/>
      <c r="I529" s="2"/>
      <c r="J529" s="2"/>
      <c r="K529" s="2"/>
      <c r="L529" s="2"/>
      <c r="M529" s="2"/>
      <c r="N529" s="2"/>
      <c r="O529" s="2"/>
      <c r="P529" s="2"/>
      <c r="Q529" s="2"/>
    </row>
    <row r="530" spans="1:22" ht="13.2">
      <c r="A530" s="42">
        <v>45840</v>
      </c>
      <c r="B530" s="10">
        <v>10</v>
      </c>
      <c r="C530" s="10" t="s">
        <v>252</v>
      </c>
      <c r="D530" s="10" t="s">
        <v>23</v>
      </c>
      <c r="E530" s="21" t="s">
        <v>275</v>
      </c>
      <c r="F530" s="21">
        <v>11</v>
      </c>
      <c r="G530" s="10">
        <f t="shared" si="14"/>
        <v>110</v>
      </c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</row>
    <row r="531" spans="1:22" ht="13.2">
      <c r="A531" s="42">
        <v>45840</v>
      </c>
      <c r="B531" s="10">
        <v>3</v>
      </c>
      <c r="C531" s="10" t="s">
        <v>31</v>
      </c>
      <c r="D531" s="10" t="s">
        <v>31</v>
      </c>
      <c r="E531" s="21" t="s">
        <v>311</v>
      </c>
      <c r="F531" s="21">
        <v>4</v>
      </c>
      <c r="G531" s="10">
        <f t="shared" si="14"/>
        <v>12</v>
      </c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</row>
    <row r="532" spans="1:22" ht="13.2">
      <c r="A532" s="42">
        <v>45840</v>
      </c>
      <c r="B532" s="10">
        <v>2</v>
      </c>
      <c r="C532" s="10" t="s">
        <v>25</v>
      </c>
      <c r="D532" s="10" t="s">
        <v>25</v>
      </c>
      <c r="E532" s="10" t="s">
        <v>168</v>
      </c>
      <c r="F532" s="21">
        <v>100</v>
      </c>
      <c r="G532" s="10">
        <f t="shared" si="14"/>
        <v>200</v>
      </c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</row>
    <row r="533" spans="1:22" ht="13.2">
      <c r="A533" s="42">
        <v>45840</v>
      </c>
      <c r="B533" s="10">
        <v>1</v>
      </c>
      <c r="C533" s="10" t="s">
        <v>25</v>
      </c>
      <c r="D533" s="10" t="s">
        <v>25</v>
      </c>
      <c r="E533" s="10" t="s">
        <v>8</v>
      </c>
      <c r="F533" s="21">
        <v>60</v>
      </c>
      <c r="G533" s="10">
        <f t="shared" si="14"/>
        <v>60</v>
      </c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</row>
    <row r="534" spans="1:22" ht="13.2">
      <c r="A534" s="42">
        <v>45840</v>
      </c>
      <c r="B534" s="10">
        <v>1</v>
      </c>
      <c r="C534" s="10" t="s">
        <v>40</v>
      </c>
      <c r="D534" s="10" t="s">
        <v>40</v>
      </c>
      <c r="E534" s="10" t="s">
        <v>312</v>
      </c>
      <c r="F534" s="21">
        <v>131.25</v>
      </c>
      <c r="G534" s="10">
        <f t="shared" si="14"/>
        <v>131.25</v>
      </c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</row>
    <row r="535" spans="1:22" ht="13.2">
      <c r="A535" s="42">
        <v>45841</v>
      </c>
      <c r="B535" s="10">
        <v>1</v>
      </c>
      <c r="C535" s="10" t="s">
        <v>40</v>
      </c>
      <c r="D535" s="10" t="s">
        <v>40</v>
      </c>
      <c r="E535" s="10" t="s">
        <v>313</v>
      </c>
      <c r="F535" s="21">
        <v>280</v>
      </c>
      <c r="G535" s="10">
        <f t="shared" si="14"/>
        <v>280</v>
      </c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</row>
    <row r="536" spans="1:22" ht="13.2">
      <c r="A536" s="42">
        <v>45842</v>
      </c>
      <c r="B536" s="10">
        <v>12</v>
      </c>
      <c r="C536" s="10" t="s">
        <v>252</v>
      </c>
      <c r="D536" s="10" t="s">
        <v>23</v>
      </c>
      <c r="E536" s="10" t="s">
        <v>314</v>
      </c>
      <c r="F536" s="21">
        <v>4</v>
      </c>
      <c r="G536" s="10">
        <f t="shared" si="14"/>
        <v>48</v>
      </c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</row>
    <row r="537" spans="1:22" ht="13.2">
      <c r="A537" s="42">
        <v>45842</v>
      </c>
      <c r="B537" s="10">
        <v>1</v>
      </c>
      <c r="C537" s="10" t="s">
        <v>252</v>
      </c>
      <c r="D537" s="10" t="s">
        <v>23</v>
      </c>
      <c r="E537" s="10" t="s">
        <v>315</v>
      </c>
      <c r="F537" s="21">
        <v>12</v>
      </c>
      <c r="G537" s="10">
        <f t="shared" si="14"/>
        <v>12</v>
      </c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</row>
    <row r="538" spans="1:22" ht="13.2">
      <c r="A538" s="42">
        <v>45842</v>
      </c>
      <c r="B538" s="10">
        <v>1</v>
      </c>
      <c r="C538" s="10" t="s">
        <v>252</v>
      </c>
      <c r="D538" s="10" t="s">
        <v>23</v>
      </c>
      <c r="E538" s="10" t="s">
        <v>316</v>
      </c>
      <c r="F538" s="21">
        <v>18</v>
      </c>
      <c r="G538" s="10">
        <f t="shared" si="14"/>
        <v>18</v>
      </c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</row>
    <row r="539" spans="1:22" ht="13.2">
      <c r="A539" s="42">
        <v>45842</v>
      </c>
      <c r="B539" s="10">
        <v>1</v>
      </c>
      <c r="C539" s="10" t="s">
        <v>252</v>
      </c>
      <c r="D539" s="10" t="s">
        <v>23</v>
      </c>
      <c r="E539" s="10" t="s">
        <v>317</v>
      </c>
      <c r="F539" s="21">
        <v>9</v>
      </c>
      <c r="G539" s="10">
        <f t="shared" si="14"/>
        <v>9</v>
      </c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</row>
    <row r="540" spans="1:22" ht="13.2">
      <c r="A540" s="42">
        <v>45842</v>
      </c>
      <c r="B540" s="10">
        <v>1</v>
      </c>
      <c r="C540" s="10" t="s">
        <v>252</v>
      </c>
      <c r="D540" s="10" t="s">
        <v>23</v>
      </c>
      <c r="E540" s="19" t="s">
        <v>279</v>
      </c>
      <c r="F540" s="21">
        <v>9</v>
      </c>
      <c r="G540" s="10">
        <f t="shared" si="14"/>
        <v>9</v>
      </c>
      <c r="H540" s="2"/>
      <c r="I540" s="2"/>
      <c r="J540" s="27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</row>
    <row r="541" spans="1:22" ht="13.2">
      <c r="A541" s="42">
        <v>45842</v>
      </c>
      <c r="B541" s="10">
        <v>1</v>
      </c>
      <c r="C541" s="10" t="s">
        <v>252</v>
      </c>
      <c r="D541" s="10" t="s">
        <v>23</v>
      </c>
      <c r="E541" s="10" t="s">
        <v>318</v>
      </c>
      <c r="F541" s="21">
        <v>21</v>
      </c>
      <c r="G541" s="10">
        <f t="shared" si="14"/>
        <v>21</v>
      </c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</row>
    <row r="542" spans="1:22" ht="13.2">
      <c r="A542" s="42">
        <v>45842</v>
      </c>
      <c r="B542" s="10">
        <v>3</v>
      </c>
      <c r="C542" s="10" t="s">
        <v>252</v>
      </c>
      <c r="D542" s="10" t="s">
        <v>23</v>
      </c>
      <c r="E542" s="10" t="s">
        <v>319</v>
      </c>
      <c r="F542" s="21">
        <v>14</v>
      </c>
      <c r="G542" s="10">
        <f t="shared" si="14"/>
        <v>42</v>
      </c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</row>
    <row r="543" spans="1:22" ht="13.2">
      <c r="A543" s="42">
        <v>45842</v>
      </c>
      <c r="B543" s="10">
        <v>6</v>
      </c>
      <c r="C543" s="10" t="s">
        <v>252</v>
      </c>
      <c r="D543" s="10" t="s">
        <v>23</v>
      </c>
      <c r="E543" s="10" t="s">
        <v>275</v>
      </c>
      <c r="F543" s="21">
        <v>10</v>
      </c>
      <c r="G543" s="10">
        <f t="shared" si="14"/>
        <v>60</v>
      </c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</row>
    <row r="544" spans="1:22" ht="13.2">
      <c r="A544" s="42">
        <v>45842</v>
      </c>
      <c r="B544" s="10">
        <v>1</v>
      </c>
      <c r="C544" s="10" t="s">
        <v>252</v>
      </c>
      <c r="D544" s="10" t="s">
        <v>23</v>
      </c>
      <c r="E544" s="10" t="s">
        <v>320</v>
      </c>
      <c r="F544" s="21">
        <v>15</v>
      </c>
      <c r="G544" s="10">
        <f t="shared" si="14"/>
        <v>15</v>
      </c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</row>
    <row r="545" spans="1:22" ht="13.2">
      <c r="A545" s="42">
        <v>45842</v>
      </c>
      <c r="B545" s="10">
        <v>1</v>
      </c>
      <c r="C545" s="10" t="s">
        <v>252</v>
      </c>
      <c r="D545" s="10" t="s">
        <v>23</v>
      </c>
      <c r="E545" s="10" t="s">
        <v>321</v>
      </c>
      <c r="F545" s="21">
        <v>20</v>
      </c>
      <c r="G545" s="10">
        <f t="shared" si="14"/>
        <v>20</v>
      </c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</row>
    <row r="546" spans="1:22" ht="13.2">
      <c r="A546" s="42">
        <v>45842</v>
      </c>
      <c r="B546" s="10">
        <v>1</v>
      </c>
      <c r="C546" s="10" t="s">
        <v>252</v>
      </c>
      <c r="D546" s="10" t="s">
        <v>23</v>
      </c>
      <c r="E546" s="10" t="s">
        <v>212</v>
      </c>
      <c r="F546" s="21">
        <v>12</v>
      </c>
      <c r="G546" s="10">
        <f t="shared" si="14"/>
        <v>12</v>
      </c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</row>
    <row r="547" spans="1:22" ht="13.2">
      <c r="A547" s="42">
        <v>45842</v>
      </c>
      <c r="B547" s="10">
        <v>1</v>
      </c>
      <c r="C547" s="10" t="s">
        <v>252</v>
      </c>
      <c r="D547" s="10" t="s">
        <v>23</v>
      </c>
      <c r="E547" s="10" t="s">
        <v>187</v>
      </c>
      <c r="F547" s="21">
        <v>18</v>
      </c>
      <c r="G547" s="10">
        <f t="shared" si="14"/>
        <v>18</v>
      </c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</row>
    <row r="548" spans="1:22" ht="13.2">
      <c r="A548" s="42">
        <v>45842</v>
      </c>
      <c r="B548" s="10">
        <v>1</v>
      </c>
      <c r="C548" s="10" t="s">
        <v>252</v>
      </c>
      <c r="D548" s="10" t="s">
        <v>23</v>
      </c>
      <c r="E548" s="10" t="s">
        <v>322</v>
      </c>
      <c r="F548" s="21">
        <v>30</v>
      </c>
      <c r="G548" s="10">
        <f t="shared" si="14"/>
        <v>30</v>
      </c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</row>
    <row r="549" spans="1:22" ht="13.2">
      <c r="A549" s="42">
        <v>45842</v>
      </c>
      <c r="B549" s="10">
        <v>1</v>
      </c>
      <c r="C549" s="10" t="s">
        <v>252</v>
      </c>
      <c r="D549" s="10" t="s">
        <v>23</v>
      </c>
      <c r="E549" s="10" t="s">
        <v>323</v>
      </c>
      <c r="F549" s="21">
        <v>19</v>
      </c>
      <c r="G549" s="10">
        <f t="shared" si="14"/>
        <v>19</v>
      </c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</row>
    <row r="550" spans="1:22" ht="13.2">
      <c r="A550" s="42">
        <v>45843</v>
      </c>
      <c r="B550" s="10">
        <v>5</v>
      </c>
      <c r="C550" s="10" t="s">
        <v>25</v>
      </c>
      <c r="D550" s="10" t="s">
        <v>25</v>
      </c>
      <c r="E550" s="10" t="s">
        <v>324</v>
      </c>
      <c r="F550" s="21">
        <v>60</v>
      </c>
      <c r="G550" s="10">
        <f t="shared" si="14"/>
        <v>300</v>
      </c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</row>
    <row r="551" spans="1:22" ht="13.2">
      <c r="A551" s="42">
        <v>45845</v>
      </c>
      <c r="B551" s="10">
        <v>1</v>
      </c>
      <c r="C551" s="10" t="s">
        <v>31</v>
      </c>
      <c r="D551" s="10" t="s">
        <v>23</v>
      </c>
      <c r="E551" s="10" t="s">
        <v>325</v>
      </c>
      <c r="F551" s="21">
        <v>425</v>
      </c>
      <c r="G551" s="10">
        <f t="shared" si="14"/>
        <v>425</v>
      </c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</row>
    <row r="552" spans="1:22" ht="13.2">
      <c r="A552" s="42">
        <v>45846</v>
      </c>
      <c r="B552" s="10">
        <v>1</v>
      </c>
      <c r="C552" s="10" t="s">
        <v>40</v>
      </c>
      <c r="D552" s="10" t="s">
        <v>40</v>
      </c>
      <c r="E552" s="21" t="s">
        <v>269</v>
      </c>
      <c r="F552" s="21">
        <v>337.5</v>
      </c>
      <c r="G552" s="10">
        <f t="shared" si="14"/>
        <v>337.5</v>
      </c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</row>
    <row r="553" spans="1:22" ht="13.2">
      <c r="A553" s="42">
        <v>45846</v>
      </c>
      <c r="B553" s="10">
        <v>1</v>
      </c>
      <c r="C553" s="10" t="s">
        <v>40</v>
      </c>
      <c r="D553" s="10" t="s">
        <v>40</v>
      </c>
      <c r="E553" s="21" t="s">
        <v>326</v>
      </c>
      <c r="F553" s="21">
        <v>37.5</v>
      </c>
      <c r="G553" s="10">
        <f t="shared" si="14"/>
        <v>37.5</v>
      </c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</row>
    <row r="554" spans="1:22" ht="13.2">
      <c r="A554" s="42">
        <v>45846</v>
      </c>
      <c r="B554" s="10">
        <v>1</v>
      </c>
      <c r="C554" s="10" t="s">
        <v>40</v>
      </c>
      <c r="D554" s="10" t="s">
        <v>40</v>
      </c>
      <c r="E554" s="21" t="s">
        <v>87</v>
      </c>
      <c r="F554" s="21">
        <v>180</v>
      </c>
      <c r="G554" s="10">
        <f t="shared" si="14"/>
        <v>180</v>
      </c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</row>
    <row r="555" spans="1:22" ht="13.2">
      <c r="A555" s="42">
        <v>45847</v>
      </c>
      <c r="B555" s="10">
        <v>30</v>
      </c>
      <c r="C555" s="10" t="s">
        <v>252</v>
      </c>
      <c r="D555" s="10" t="s">
        <v>23</v>
      </c>
      <c r="E555" s="21" t="s">
        <v>327</v>
      </c>
      <c r="F555" s="21">
        <v>4</v>
      </c>
      <c r="G555" s="10">
        <f t="shared" si="14"/>
        <v>120</v>
      </c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</row>
    <row r="556" spans="1:22" ht="13.2">
      <c r="A556" s="42">
        <v>45849</v>
      </c>
      <c r="B556" s="10">
        <v>1</v>
      </c>
      <c r="C556" s="10" t="s">
        <v>40</v>
      </c>
      <c r="D556" s="10" t="s">
        <v>40</v>
      </c>
      <c r="E556" s="21" t="s">
        <v>268</v>
      </c>
      <c r="F556" s="21">
        <v>206.25</v>
      </c>
      <c r="G556" s="10">
        <f t="shared" si="14"/>
        <v>206.25</v>
      </c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</row>
    <row r="557" spans="1:22" ht="13.2">
      <c r="A557" s="42">
        <v>45849</v>
      </c>
      <c r="B557" s="21">
        <v>1</v>
      </c>
      <c r="C557" s="10" t="s">
        <v>60</v>
      </c>
      <c r="D557" s="10" t="s">
        <v>23</v>
      </c>
      <c r="E557" s="10" t="s">
        <v>113</v>
      </c>
      <c r="F557" s="10">
        <v>60</v>
      </c>
      <c r="G557" s="10">
        <f t="shared" si="14"/>
        <v>60</v>
      </c>
      <c r="H557" s="2"/>
      <c r="I557" s="2"/>
      <c r="J557" s="2"/>
      <c r="K557" s="2"/>
      <c r="L557" s="2"/>
      <c r="M557" s="2"/>
      <c r="N557" s="2"/>
      <c r="O557" s="2"/>
      <c r="P557" s="2"/>
      <c r="Q557" s="2"/>
    </row>
    <row r="558" spans="1:22" ht="13.2">
      <c r="A558" s="42">
        <v>45849</v>
      </c>
      <c r="B558" s="21">
        <v>1</v>
      </c>
      <c r="C558" s="10" t="s">
        <v>60</v>
      </c>
      <c r="D558" s="10" t="s">
        <v>23</v>
      </c>
      <c r="E558" s="10" t="s">
        <v>11</v>
      </c>
      <c r="F558" s="10">
        <v>60</v>
      </c>
      <c r="G558" s="10">
        <f t="shared" si="14"/>
        <v>60</v>
      </c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</row>
    <row r="559" spans="1:22" ht="13.2">
      <c r="A559" s="42">
        <v>45849</v>
      </c>
      <c r="B559" s="21">
        <v>1</v>
      </c>
      <c r="C559" s="10" t="s">
        <v>79</v>
      </c>
      <c r="D559" s="10" t="s">
        <v>31</v>
      </c>
      <c r="E559" s="10" t="s">
        <v>328</v>
      </c>
      <c r="F559" s="10">
        <v>158.38999999999999</v>
      </c>
      <c r="G559" s="10">
        <f t="shared" si="14"/>
        <v>158.38999999999999</v>
      </c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</row>
    <row r="560" spans="1:22" ht="13.2">
      <c r="A560" s="42">
        <v>45849</v>
      </c>
      <c r="B560" s="21">
        <v>1</v>
      </c>
      <c r="C560" s="10" t="s">
        <v>31</v>
      </c>
      <c r="D560" s="10" t="s">
        <v>31</v>
      </c>
      <c r="E560" s="10" t="s">
        <v>329</v>
      </c>
      <c r="F560" s="10">
        <v>6.5</v>
      </c>
      <c r="G560" s="10">
        <f t="shared" si="14"/>
        <v>6.5</v>
      </c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</row>
    <row r="561" spans="1:22" ht="13.2">
      <c r="A561" s="42">
        <v>45849</v>
      </c>
      <c r="B561" s="21">
        <v>1</v>
      </c>
      <c r="C561" s="10" t="s">
        <v>31</v>
      </c>
      <c r="D561" s="10" t="s">
        <v>31</v>
      </c>
      <c r="E561" s="10" t="s">
        <v>111</v>
      </c>
      <c r="F561" s="10">
        <v>16.8</v>
      </c>
      <c r="G561" s="10">
        <f t="shared" si="14"/>
        <v>16.8</v>
      </c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</row>
    <row r="562" spans="1:22" ht="13.2">
      <c r="A562" s="42">
        <v>45850</v>
      </c>
      <c r="B562" s="21">
        <v>1</v>
      </c>
      <c r="C562" s="10" t="s">
        <v>60</v>
      </c>
      <c r="D562" s="10" t="s">
        <v>23</v>
      </c>
      <c r="E562" s="10" t="s">
        <v>330</v>
      </c>
      <c r="F562" s="10">
        <v>60</v>
      </c>
      <c r="G562" s="10">
        <f t="shared" si="14"/>
        <v>60</v>
      </c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</row>
    <row r="563" spans="1:22" ht="13.2">
      <c r="A563" s="42">
        <v>45850</v>
      </c>
      <c r="B563" s="21">
        <v>1</v>
      </c>
      <c r="C563" s="10" t="s">
        <v>60</v>
      </c>
      <c r="D563" s="10" t="s">
        <v>23</v>
      </c>
      <c r="E563" s="10" t="s">
        <v>11</v>
      </c>
      <c r="F563" s="10">
        <v>60</v>
      </c>
      <c r="G563" s="10">
        <f t="shared" si="14"/>
        <v>60</v>
      </c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</row>
    <row r="564" spans="1:22" ht="13.2">
      <c r="A564" s="42">
        <v>45852</v>
      </c>
      <c r="B564" s="21">
        <v>1</v>
      </c>
      <c r="C564" s="10" t="s">
        <v>60</v>
      </c>
      <c r="D564" s="10" t="s">
        <v>23</v>
      </c>
      <c r="E564" s="10" t="s">
        <v>330</v>
      </c>
      <c r="F564" s="10">
        <v>60</v>
      </c>
      <c r="G564" s="10">
        <f t="shared" si="14"/>
        <v>60</v>
      </c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</row>
    <row r="565" spans="1:22" ht="13.2">
      <c r="A565" s="42">
        <v>45852</v>
      </c>
      <c r="B565" s="21">
        <v>1</v>
      </c>
      <c r="C565" s="10" t="s">
        <v>40</v>
      </c>
      <c r="D565" s="10" t="s">
        <v>40</v>
      </c>
      <c r="E565" s="21" t="s">
        <v>247</v>
      </c>
      <c r="F565" s="10">
        <v>220</v>
      </c>
      <c r="G565" s="10">
        <f t="shared" si="14"/>
        <v>220</v>
      </c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</row>
    <row r="566" spans="1:22" ht="13.2">
      <c r="A566" s="42">
        <v>45852</v>
      </c>
      <c r="B566" s="21">
        <v>1</v>
      </c>
      <c r="C566" s="10" t="s">
        <v>40</v>
      </c>
      <c r="D566" s="10" t="s">
        <v>40</v>
      </c>
      <c r="E566" s="21" t="s">
        <v>297</v>
      </c>
      <c r="F566" s="10">
        <v>93.75</v>
      </c>
      <c r="G566" s="10">
        <f t="shared" si="14"/>
        <v>93.75</v>
      </c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</row>
    <row r="567" spans="1:22" ht="13.2">
      <c r="A567" s="42">
        <v>45852</v>
      </c>
      <c r="B567" s="21">
        <v>1</v>
      </c>
      <c r="C567" s="10" t="s">
        <v>40</v>
      </c>
      <c r="D567" s="10" t="s">
        <v>40</v>
      </c>
      <c r="E567" s="21" t="s">
        <v>182</v>
      </c>
      <c r="F567" s="10">
        <v>450</v>
      </c>
      <c r="G567" s="10">
        <f t="shared" si="14"/>
        <v>450</v>
      </c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</row>
    <row r="568" spans="1:22" ht="13.2">
      <c r="A568" s="42">
        <v>45852</v>
      </c>
      <c r="B568" s="21">
        <v>1</v>
      </c>
      <c r="C568" s="10" t="s">
        <v>40</v>
      </c>
      <c r="D568" s="10" t="s">
        <v>40</v>
      </c>
      <c r="E568" s="21" t="s">
        <v>181</v>
      </c>
      <c r="F568" s="10">
        <v>315</v>
      </c>
      <c r="G568" s="10">
        <f t="shared" si="14"/>
        <v>315</v>
      </c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</row>
    <row r="569" spans="1:22" ht="13.2">
      <c r="A569" s="42">
        <v>45852</v>
      </c>
      <c r="B569" s="21">
        <v>1</v>
      </c>
      <c r="C569" s="10" t="s">
        <v>40</v>
      </c>
      <c r="D569" s="10" t="s">
        <v>40</v>
      </c>
      <c r="E569" s="21" t="s">
        <v>173</v>
      </c>
      <c r="F569" s="10">
        <v>1605</v>
      </c>
      <c r="G569" s="10">
        <f t="shared" si="14"/>
        <v>1605</v>
      </c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</row>
    <row r="570" spans="1:22" ht="13.2">
      <c r="A570" s="42">
        <v>45854</v>
      </c>
      <c r="B570" s="21">
        <v>2</v>
      </c>
      <c r="C570" s="10" t="s">
        <v>22</v>
      </c>
      <c r="D570" s="10" t="s">
        <v>23</v>
      </c>
      <c r="E570" s="21" t="s">
        <v>331</v>
      </c>
      <c r="F570" s="10">
        <v>11.5</v>
      </c>
      <c r="G570" s="10">
        <f t="shared" si="14"/>
        <v>23</v>
      </c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</row>
    <row r="571" spans="1:22" ht="13.2">
      <c r="A571" s="42">
        <v>45854</v>
      </c>
      <c r="B571" s="21">
        <v>1</v>
      </c>
      <c r="C571" s="10" t="s">
        <v>193</v>
      </c>
      <c r="D571" s="10" t="s">
        <v>31</v>
      </c>
      <c r="E571" s="10" t="s">
        <v>305</v>
      </c>
      <c r="F571" s="10">
        <v>183.75</v>
      </c>
      <c r="G571" s="10">
        <f t="shared" si="14"/>
        <v>183.75</v>
      </c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</row>
    <row r="572" spans="1:22" ht="13.2">
      <c r="A572" s="42">
        <v>45854</v>
      </c>
      <c r="B572" s="21">
        <v>1</v>
      </c>
      <c r="C572" s="10" t="s">
        <v>193</v>
      </c>
      <c r="D572" s="10" t="s">
        <v>31</v>
      </c>
      <c r="E572" s="10" t="s">
        <v>306</v>
      </c>
      <c r="F572" s="10">
        <v>11.25</v>
      </c>
      <c r="G572" s="10">
        <f t="shared" si="14"/>
        <v>11.25</v>
      </c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</row>
    <row r="573" spans="1:22" ht="13.2">
      <c r="A573" s="42">
        <v>45854</v>
      </c>
      <c r="B573" s="21">
        <v>1</v>
      </c>
      <c r="C573" s="10" t="s">
        <v>193</v>
      </c>
      <c r="D573" s="10" t="s">
        <v>31</v>
      </c>
      <c r="E573" s="10" t="s">
        <v>51</v>
      </c>
      <c r="F573" s="10">
        <v>25</v>
      </c>
      <c r="G573" s="10">
        <f t="shared" si="14"/>
        <v>25</v>
      </c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</row>
    <row r="574" spans="1:22" ht="13.2">
      <c r="A574" s="42">
        <v>45854</v>
      </c>
      <c r="B574" s="21">
        <v>1</v>
      </c>
      <c r="C574" s="10" t="s">
        <v>31</v>
      </c>
      <c r="D574" s="10" t="s">
        <v>31</v>
      </c>
      <c r="E574" s="10" t="s">
        <v>307</v>
      </c>
      <c r="F574" s="10">
        <v>25</v>
      </c>
      <c r="G574" s="10">
        <f t="shared" si="14"/>
        <v>25</v>
      </c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</row>
    <row r="575" spans="1:22" ht="13.2">
      <c r="A575" s="42">
        <v>45854</v>
      </c>
      <c r="B575" s="10">
        <v>1</v>
      </c>
      <c r="C575" s="10" t="s">
        <v>31</v>
      </c>
      <c r="D575" s="10" t="s">
        <v>31</v>
      </c>
      <c r="E575" s="10" t="s">
        <v>122</v>
      </c>
      <c r="F575" s="21">
        <v>10000</v>
      </c>
      <c r="G575" s="10">
        <f t="shared" si="14"/>
        <v>10000</v>
      </c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</row>
    <row r="576" spans="1:22" ht="13.2">
      <c r="A576" s="42">
        <v>45854</v>
      </c>
      <c r="B576" s="10">
        <v>1</v>
      </c>
      <c r="C576" s="10" t="s">
        <v>40</v>
      </c>
      <c r="D576" s="10" t="s">
        <v>40</v>
      </c>
      <c r="E576" s="10" t="s">
        <v>116</v>
      </c>
      <c r="F576" s="21">
        <v>40</v>
      </c>
      <c r="G576" s="10">
        <f t="shared" si="14"/>
        <v>40</v>
      </c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</row>
    <row r="577" spans="1:22" ht="13.2">
      <c r="A577" s="42">
        <v>45854</v>
      </c>
      <c r="B577" s="10">
        <v>1</v>
      </c>
      <c r="C577" s="10" t="s">
        <v>31</v>
      </c>
      <c r="D577" s="10" t="s">
        <v>31</v>
      </c>
      <c r="E577" s="10" t="s">
        <v>117</v>
      </c>
      <c r="F577" s="21">
        <v>650</v>
      </c>
      <c r="G577" s="10">
        <f t="shared" si="14"/>
        <v>650</v>
      </c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</row>
    <row r="578" spans="1:22" ht="13.2">
      <c r="A578" s="42">
        <v>45854</v>
      </c>
      <c r="B578" s="10">
        <v>2</v>
      </c>
      <c r="C578" s="10" t="s">
        <v>254</v>
      </c>
      <c r="D578" s="10" t="s">
        <v>31</v>
      </c>
      <c r="E578" s="10" t="s">
        <v>118</v>
      </c>
      <c r="F578" s="21">
        <v>146</v>
      </c>
      <c r="G578" s="10">
        <f t="shared" si="14"/>
        <v>292</v>
      </c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</row>
    <row r="579" spans="1:22" ht="13.2">
      <c r="A579" s="42">
        <v>45854</v>
      </c>
      <c r="B579" s="10">
        <v>1</v>
      </c>
      <c r="C579" s="10" t="s">
        <v>31</v>
      </c>
      <c r="D579" s="10" t="s">
        <v>31</v>
      </c>
      <c r="E579" s="10" t="s">
        <v>119</v>
      </c>
      <c r="F579" s="21">
        <v>430</v>
      </c>
      <c r="G579" s="10">
        <f t="shared" si="14"/>
        <v>430</v>
      </c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</row>
    <row r="580" spans="1:22" ht="13.2">
      <c r="A580" s="42">
        <v>45854</v>
      </c>
      <c r="B580" s="10">
        <v>1</v>
      </c>
      <c r="C580" s="10" t="s">
        <v>194</v>
      </c>
      <c r="D580" s="10" t="s">
        <v>31</v>
      </c>
      <c r="E580" s="10" t="s">
        <v>120</v>
      </c>
      <c r="F580" s="21">
        <v>80</v>
      </c>
      <c r="G580" s="10">
        <f t="shared" si="14"/>
        <v>80</v>
      </c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</row>
    <row r="581" spans="1:22" ht="13.2">
      <c r="A581" s="42">
        <v>45854</v>
      </c>
      <c r="B581" s="10">
        <v>2</v>
      </c>
      <c r="C581" s="10" t="s">
        <v>194</v>
      </c>
      <c r="D581" s="10" t="s">
        <v>31</v>
      </c>
      <c r="E581" s="10" t="s">
        <v>121</v>
      </c>
      <c r="F581" s="21">
        <v>74</v>
      </c>
      <c r="G581" s="10">
        <f t="shared" si="14"/>
        <v>148</v>
      </c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</row>
    <row r="582" spans="1:22" ht="13.2">
      <c r="A582" s="42">
        <v>45854</v>
      </c>
      <c r="B582" s="10">
        <v>1</v>
      </c>
      <c r="C582" s="10" t="s">
        <v>194</v>
      </c>
      <c r="D582" s="10" t="s">
        <v>31</v>
      </c>
      <c r="E582" s="10" t="s">
        <v>287</v>
      </c>
      <c r="F582" s="21">
        <v>80</v>
      </c>
      <c r="G582" s="10">
        <f t="shared" si="14"/>
        <v>80</v>
      </c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</row>
    <row r="583" spans="1:22" ht="13.2">
      <c r="A583" s="42">
        <v>45854</v>
      </c>
      <c r="B583" s="10">
        <v>4</v>
      </c>
      <c r="C583" s="10" t="s">
        <v>288</v>
      </c>
      <c r="D583" s="10" t="s">
        <v>31</v>
      </c>
      <c r="E583" s="10" t="s">
        <v>48</v>
      </c>
      <c r="F583" s="21">
        <v>128.47999999999999</v>
      </c>
      <c r="G583" s="10">
        <f t="shared" si="14"/>
        <v>513.91999999999996</v>
      </c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</row>
    <row r="584" spans="1:22" ht="13.2">
      <c r="A584" s="42">
        <v>45854</v>
      </c>
      <c r="B584" s="10">
        <v>1</v>
      </c>
      <c r="C584" s="10" t="s">
        <v>254</v>
      </c>
      <c r="D584" s="10" t="s">
        <v>31</v>
      </c>
      <c r="E584" s="10" t="s">
        <v>289</v>
      </c>
      <c r="F584" s="21">
        <v>80</v>
      </c>
      <c r="G584" s="10">
        <f t="shared" si="14"/>
        <v>80</v>
      </c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</row>
    <row r="585" spans="1:22" ht="13.2">
      <c r="A585" s="42">
        <v>45854</v>
      </c>
      <c r="B585" s="10">
        <v>1</v>
      </c>
      <c r="C585" s="10" t="s">
        <v>193</v>
      </c>
      <c r="D585" s="10" t="s">
        <v>31</v>
      </c>
      <c r="E585" s="10" t="s">
        <v>50</v>
      </c>
      <c r="F585" s="10">
        <v>300</v>
      </c>
      <c r="G585" s="10">
        <f t="shared" si="14"/>
        <v>300</v>
      </c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</row>
    <row r="586" spans="1:22" ht="13.2">
      <c r="A586" s="42">
        <v>45854</v>
      </c>
      <c r="B586" s="10">
        <v>1</v>
      </c>
      <c r="C586" s="10" t="s">
        <v>193</v>
      </c>
      <c r="D586" s="10" t="s">
        <v>31</v>
      </c>
      <c r="E586" s="10" t="s">
        <v>51</v>
      </c>
      <c r="F586" s="10">
        <v>300</v>
      </c>
      <c r="G586" s="10">
        <f t="shared" si="14"/>
        <v>300</v>
      </c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</row>
    <row r="587" spans="1:22" ht="13.2">
      <c r="A587" s="42">
        <v>45854</v>
      </c>
      <c r="B587" s="10">
        <v>1</v>
      </c>
      <c r="C587" s="10" t="s">
        <v>193</v>
      </c>
      <c r="D587" s="10" t="s">
        <v>31</v>
      </c>
      <c r="E587" s="10" t="s">
        <v>52</v>
      </c>
      <c r="F587" s="10">
        <v>100</v>
      </c>
      <c r="G587" s="10">
        <f t="shared" si="14"/>
        <v>100</v>
      </c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</row>
    <row r="588" spans="1:22" ht="13.2">
      <c r="A588" s="42">
        <v>45854</v>
      </c>
      <c r="B588" s="10">
        <v>1</v>
      </c>
      <c r="C588" s="10" t="s">
        <v>193</v>
      </c>
      <c r="D588" s="10" t="s">
        <v>31</v>
      </c>
      <c r="E588" s="10" t="s">
        <v>53</v>
      </c>
      <c r="F588" s="10">
        <v>160</v>
      </c>
      <c r="G588" s="10">
        <f t="shared" si="14"/>
        <v>160</v>
      </c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</row>
    <row r="589" spans="1:22" ht="13.2">
      <c r="A589" s="42">
        <v>45854</v>
      </c>
      <c r="B589" s="10">
        <v>1</v>
      </c>
      <c r="C589" s="10" t="s">
        <v>193</v>
      </c>
      <c r="D589" s="10" t="s">
        <v>31</v>
      </c>
      <c r="E589" s="10" t="s">
        <v>54</v>
      </c>
      <c r="F589" s="10">
        <v>100</v>
      </c>
      <c r="G589" s="10">
        <f t="shared" si="14"/>
        <v>100</v>
      </c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</row>
    <row r="590" spans="1:22" ht="13.2">
      <c r="A590" s="42">
        <v>45854</v>
      </c>
      <c r="B590" s="21">
        <v>1</v>
      </c>
      <c r="C590" s="10" t="s">
        <v>60</v>
      </c>
      <c r="D590" s="10" t="s">
        <v>23</v>
      </c>
      <c r="E590" s="23" t="s">
        <v>165</v>
      </c>
      <c r="F590" s="10">
        <v>569.12</v>
      </c>
      <c r="G590" s="10">
        <f t="shared" si="14"/>
        <v>569.12</v>
      </c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</row>
    <row r="591" spans="1:22" ht="13.2">
      <c r="A591" s="42">
        <v>45854</v>
      </c>
      <c r="B591" s="21">
        <v>1</v>
      </c>
      <c r="C591" s="10" t="s">
        <v>60</v>
      </c>
      <c r="D591" s="10" t="s">
        <v>23</v>
      </c>
      <c r="E591" s="21" t="s">
        <v>160</v>
      </c>
      <c r="F591" s="10">
        <v>446.73</v>
      </c>
      <c r="G591" s="10">
        <f t="shared" si="14"/>
        <v>446.73</v>
      </c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</row>
    <row r="592" spans="1:22" ht="13.2">
      <c r="A592" s="42">
        <v>45856</v>
      </c>
      <c r="B592" s="10">
        <v>1</v>
      </c>
      <c r="C592" s="10" t="s">
        <v>31</v>
      </c>
      <c r="D592" s="10" t="s">
        <v>31</v>
      </c>
      <c r="E592" s="10" t="s">
        <v>174</v>
      </c>
      <c r="F592" s="10">
        <v>2550</v>
      </c>
      <c r="G592" s="10">
        <f t="shared" si="14"/>
        <v>2550</v>
      </c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</row>
    <row r="593" spans="1:22" ht="13.2">
      <c r="A593" s="42">
        <v>45856</v>
      </c>
      <c r="B593" s="10">
        <v>6</v>
      </c>
      <c r="C593" s="10" t="s">
        <v>22</v>
      </c>
      <c r="D593" s="10" t="s">
        <v>23</v>
      </c>
      <c r="E593" s="10" t="s">
        <v>332</v>
      </c>
      <c r="F593" s="10">
        <v>16</v>
      </c>
      <c r="G593" s="10">
        <f t="shared" si="14"/>
        <v>96</v>
      </c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</row>
    <row r="594" spans="1:22" ht="13.2">
      <c r="A594" s="42">
        <v>45856</v>
      </c>
      <c r="B594" s="10">
        <v>1</v>
      </c>
      <c r="C594" s="10" t="s">
        <v>252</v>
      </c>
      <c r="D594" s="10" t="s">
        <v>23</v>
      </c>
      <c r="E594" s="10" t="s">
        <v>333</v>
      </c>
      <c r="F594" s="10">
        <v>9.5</v>
      </c>
      <c r="G594" s="10">
        <f t="shared" si="14"/>
        <v>9.5</v>
      </c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</row>
    <row r="595" spans="1:22" ht="13.2">
      <c r="A595" s="42">
        <v>45856</v>
      </c>
      <c r="B595" s="10">
        <v>12</v>
      </c>
      <c r="C595" s="10" t="s">
        <v>252</v>
      </c>
      <c r="D595" s="10" t="s">
        <v>23</v>
      </c>
      <c r="E595" s="10" t="s">
        <v>275</v>
      </c>
      <c r="F595" s="10">
        <v>11</v>
      </c>
      <c r="G595" s="10">
        <f t="shared" si="14"/>
        <v>132</v>
      </c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</row>
    <row r="596" spans="1:22" ht="13.2">
      <c r="A596" s="42">
        <v>45856</v>
      </c>
      <c r="B596" s="10">
        <v>2</v>
      </c>
      <c r="C596" s="10" t="s">
        <v>334</v>
      </c>
      <c r="D596" s="10" t="s">
        <v>23</v>
      </c>
      <c r="E596" s="10" t="s">
        <v>335</v>
      </c>
      <c r="F596" s="10">
        <v>9</v>
      </c>
      <c r="G596" s="10">
        <f t="shared" si="14"/>
        <v>18</v>
      </c>
      <c r="H596" s="2"/>
      <c r="Q596" s="2"/>
      <c r="R596" s="2"/>
      <c r="S596" s="2"/>
      <c r="T596" s="2"/>
      <c r="U596" s="2"/>
      <c r="V596" s="2"/>
    </row>
    <row r="597" spans="1:22" ht="13.2">
      <c r="A597" s="42">
        <v>45856</v>
      </c>
      <c r="B597" s="10">
        <v>3</v>
      </c>
      <c r="C597" s="10" t="s">
        <v>252</v>
      </c>
      <c r="D597" s="10" t="s">
        <v>23</v>
      </c>
      <c r="E597" s="10" t="s">
        <v>336</v>
      </c>
      <c r="F597" s="10">
        <v>10</v>
      </c>
      <c r="G597" s="10">
        <f t="shared" si="14"/>
        <v>30</v>
      </c>
      <c r="H597" s="2"/>
      <c r="Q597" s="2"/>
      <c r="R597" s="2"/>
      <c r="S597" s="2"/>
      <c r="T597" s="2"/>
      <c r="U597" s="2"/>
      <c r="V597" s="2"/>
    </row>
    <row r="598" spans="1:22" ht="13.2">
      <c r="A598" s="42">
        <v>45856</v>
      </c>
      <c r="B598" s="10">
        <v>4</v>
      </c>
      <c r="C598" s="10" t="s">
        <v>252</v>
      </c>
      <c r="D598" s="10" t="s">
        <v>23</v>
      </c>
      <c r="E598" s="10" t="s">
        <v>206</v>
      </c>
      <c r="F598" s="10">
        <v>6</v>
      </c>
      <c r="G598" s="10">
        <f t="shared" si="14"/>
        <v>24</v>
      </c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</row>
    <row r="599" spans="1:22" ht="13.2">
      <c r="A599" s="42">
        <v>45856</v>
      </c>
      <c r="B599" s="10">
        <v>1</v>
      </c>
      <c r="C599" s="10" t="s">
        <v>22</v>
      </c>
      <c r="D599" s="10" t="s">
        <v>23</v>
      </c>
      <c r="E599" s="10" t="s">
        <v>337</v>
      </c>
      <c r="F599" s="10">
        <v>24</v>
      </c>
      <c r="G599" s="10">
        <f t="shared" si="14"/>
        <v>24</v>
      </c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</row>
    <row r="600" spans="1:22" ht="13.2">
      <c r="A600" s="42">
        <v>45856</v>
      </c>
      <c r="B600" s="10">
        <v>7</v>
      </c>
      <c r="C600" s="10" t="s">
        <v>252</v>
      </c>
      <c r="D600" s="10" t="s">
        <v>23</v>
      </c>
      <c r="E600" s="10" t="s">
        <v>338</v>
      </c>
      <c r="F600" s="10">
        <v>9.5</v>
      </c>
      <c r="G600" s="10">
        <f t="shared" si="14"/>
        <v>66.5</v>
      </c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</row>
    <row r="601" spans="1:22" ht="13.2">
      <c r="A601" s="42">
        <v>45856</v>
      </c>
      <c r="B601" s="10">
        <v>1</v>
      </c>
      <c r="C601" s="10" t="s">
        <v>334</v>
      </c>
      <c r="D601" s="10" t="s">
        <v>23</v>
      </c>
      <c r="E601" s="10" t="s">
        <v>279</v>
      </c>
      <c r="F601" s="10">
        <v>8</v>
      </c>
      <c r="G601" s="10">
        <f t="shared" si="14"/>
        <v>8</v>
      </c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</row>
    <row r="602" spans="1:22" ht="13.2">
      <c r="A602" s="42">
        <v>45856</v>
      </c>
      <c r="B602" s="10">
        <v>2</v>
      </c>
      <c r="C602" s="10" t="s">
        <v>35</v>
      </c>
      <c r="D602" s="10" t="s">
        <v>23</v>
      </c>
      <c r="E602" s="10" t="s">
        <v>339</v>
      </c>
      <c r="F602" s="10">
        <v>12</v>
      </c>
      <c r="G602" s="10">
        <f t="shared" si="14"/>
        <v>24</v>
      </c>
      <c r="H602" s="2"/>
      <c r="I602" s="27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</row>
    <row r="603" spans="1:22" ht="13.2">
      <c r="A603" s="42">
        <v>45856</v>
      </c>
      <c r="B603" s="10">
        <v>1</v>
      </c>
      <c r="C603" s="10" t="s">
        <v>284</v>
      </c>
      <c r="D603" s="10" t="s">
        <v>23</v>
      </c>
      <c r="E603" s="10" t="s">
        <v>301</v>
      </c>
      <c r="F603" s="10">
        <v>12</v>
      </c>
      <c r="G603" s="10">
        <f t="shared" si="14"/>
        <v>12</v>
      </c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</row>
    <row r="604" spans="1:22" ht="13.2">
      <c r="A604" s="42">
        <v>45856</v>
      </c>
      <c r="B604" s="10">
        <v>2</v>
      </c>
      <c r="C604" s="10" t="s">
        <v>35</v>
      </c>
      <c r="D604" s="10" t="s">
        <v>23</v>
      </c>
      <c r="E604" s="10" t="s">
        <v>340</v>
      </c>
      <c r="F604" s="10">
        <v>12</v>
      </c>
      <c r="G604" s="10">
        <f t="shared" si="14"/>
        <v>24</v>
      </c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</row>
    <row r="605" spans="1:22" ht="13.2">
      <c r="A605" s="42">
        <v>45856</v>
      </c>
      <c r="B605" s="10">
        <v>2</v>
      </c>
      <c r="C605" s="10" t="s">
        <v>252</v>
      </c>
      <c r="D605" s="10" t="s">
        <v>23</v>
      </c>
      <c r="E605" s="10" t="s">
        <v>341</v>
      </c>
      <c r="F605" s="10">
        <v>10</v>
      </c>
      <c r="G605" s="10">
        <f t="shared" si="14"/>
        <v>20</v>
      </c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</row>
    <row r="606" spans="1:22" ht="13.2">
      <c r="A606" s="42">
        <v>45856</v>
      </c>
      <c r="B606" s="10">
        <v>1</v>
      </c>
      <c r="C606" s="10" t="s">
        <v>252</v>
      </c>
      <c r="D606" s="10" t="s">
        <v>23</v>
      </c>
      <c r="E606" s="10" t="s">
        <v>318</v>
      </c>
      <c r="F606" s="10">
        <v>23</v>
      </c>
      <c r="G606" s="10">
        <f t="shared" si="14"/>
        <v>23</v>
      </c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</row>
    <row r="607" spans="1:22" ht="13.2">
      <c r="A607" s="42">
        <v>45856</v>
      </c>
      <c r="B607" s="10">
        <v>1</v>
      </c>
      <c r="C607" s="10" t="s">
        <v>35</v>
      </c>
      <c r="D607" s="10" t="s">
        <v>23</v>
      </c>
      <c r="E607" s="10" t="s">
        <v>342</v>
      </c>
      <c r="F607" s="10">
        <v>18</v>
      </c>
      <c r="G607" s="10">
        <f t="shared" si="14"/>
        <v>18</v>
      </c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</row>
    <row r="608" spans="1:22" ht="13.2">
      <c r="A608" s="42">
        <v>45856</v>
      </c>
      <c r="B608" s="10">
        <v>1</v>
      </c>
      <c r="C608" s="10" t="s">
        <v>252</v>
      </c>
      <c r="D608" s="10" t="s">
        <v>23</v>
      </c>
      <c r="E608" s="10" t="s">
        <v>264</v>
      </c>
      <c r="F608" s="10">
        <v>38</v>
      </c>
      <c r="G608" s="10">
        <f t="shared" si="14"/>
        <v>38</v>
      </c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</row>
    <row r="609" spans="1:22" ht="13.2">
      <c r="A609" s="42">
        <v>45856</v>
      </c>
      <c r="B609" s="10">
        <v>1</v>
      </c>
      <c r="C609" s="10" t="s">
        <v>252</v>
      </c>
      <c r="D609" s="10" t="s">
        <v>23</v>
      </c>
      <c r="E609" s="10" t="s">
        <v>343</v>
      </c>
      <c r="F609" s="10">
        <v>20</v>
      </c>
      <c r="G609" s="10">
        <f t="shared" si="14"/>
        <v>20</v>
      </c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</row>
    <row r="610" spans="1:22" ht="13.2">
      <c r="A610" s="42">
        <v>45855</v>
      </c>
      <c r="B610" s="10">
        <v>10</v>
      </c>
      <c r="C610" s="10" t="s">
        <v>33</v>
      </c>
      <c r="D610" s="10" t="s">
        <v>23</v>
      </c>
      <c r="E610" s="10" t="s">
        <v>327</v>
      </c>
      <c r="F610" s="10">
        <v>4</v>
      </c>
      <c r="G610" s="10">
        <f t="shared" si="14"/>
        <v>40</v>
      </c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</row>
    <row r="611" spans="1:22" ht="13.2">
      <c r="A611" s="42">
        <v>45855</v>
      </c>
      <c r="B611" s="10">
        <v>6</v>
      </c>
      <c r="C611" s="10" t="s">
        <v>33</v>
      </c>
      <c r="D611" s="10" t="s">
        <v>23</v>
      </c>
      <c r="E611" s="10" t="s">
        <v>303</v>
      </c>
      <c r="F611" s="10">
        <v>30</v>
      </c>
      <c r="G611" s="10">
        <f t="shared" si="14"/>
        <v>180</v>
      </c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</row>
    <row r="612" spans="1:22" ht="13.2">
      <c r="A612" s="42">
        <v>45855</v>
      </c>
      <c r="B612" s="10">
        <v>1</v>
      </c>
      <c r="C612" s="10" t="s">
        <v>344</v>
      </c>
      <c r="D612" s="10" t="s">
        <v>27</v>
      </c>
      <c r="E612" s="21" t="s">
        <v>64</v>
      </c>
      <c r="F612" s="3">
        <f>290/2</f>
        <v>145</v>
      </c>
      <c r="G612" s="10">
        <f t="shared" si="14"/>
        <v>145</v>
      </c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</row>
    <row r="613" spans="1:22" ht="13.2">
      <c r="A613" s="42">
        <v>45855</v>
      </c>
      <c r="B613" s="10">
        <v>1</v>
      </c>
      <c r="C613" s="10" t="s">
        <v>40</v>
      </c>
      <c r="D613" s="10" t="s">
        <v>40</v>
      </c>
      <c r="E613" s="10" t="s">
        <v>345</v>
      </c>
      <c r="F613" s="10">
        <v>120</v>
      </c>
      <c r="G613" s="10">
        <f t="shared" si="14"/>
        <v>120</v>
      </c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</row>
    <row r="614" spans="1:22" ht="13.2">
      <c r="A614" s="42">
        <v>45855</v>
      </c>
      <c r="B614" s="10">
        <v>1</v>
      </c>
      <c r="C614" s="10" t="s">
        <v>40</v>
      </c>
      <c r="D614" s="10" t="s">
        <v>40</v>
      </c>
      <c r="E614" s="10" t="s">
        <v>269</v>
      </c>
      <c r="F614" s="10">
        <v>225</v>
      </c>
      <c r="G614" s="10">
        <f t="shared" si="14"/>
        <v>225</v>
      </c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</row>
    <row r="615" spans="1:22" ht="13.2">
      <c r="A615" s="42">
        <v>45855</v>
      </c>
      <c r="B615" s="10">
        <v>1</v>
      </c>
      <c r="C615" s="10" t="s">
        <v>40</v>
      </c>
      <c r="D615" s="10" t="s">
        <v>40</v>
      </c>
      <c r="E615" s="10" t="s">
        <v>268</v>
      </c>
      <c r="F615" s="10">
        <v>306.25</v>
      </c>
      <c r="G615" s="10">
        <f t="shared" si="14"/>
        <v>306.25</v>
      </c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</row>
    <row r="616" spans="1:22" ht="13.2">
      <c r="A616" s="42">
        <v>45855</v>
      </c>
      <c r="B616" s="10">
        <v>2</v>
      </c>
      <c r="C616" s="10" t="s">
        <v>40</v>
      </c>
      <c r="D616" s="10" t="s">
        <v>40</v>
      </c>
      <c r="E616" s="21" t="s">
        <v>87</v>
      </c>
      <c r="F616" s="10">
        <v>307.25</v>
      </c>
      <c r="G616" s="10">
        <f t="shared" si="14"/>
        <v>614.5</v>
      </c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</row>
    <row r="617" spans="1:22" ht="13.2">
      <c r="A617" s="42">
        <v>45860</v>
      </c>
      <c r="B617" s="10">
        <v>1</v>
      </c>
      <c r="C617" s="10" t="s">
        <v>33</v>
      </c>
      <c r="D617" s="10" t="s">
        <v>23</v>
      </c>
      <c r="E617" s="10" t="s">
        <v>346</v>
      </c>
      <c r="F617" s="10">
        <v>10</v>
      </c>
      <c r="G617" s="10">
        <f t="shared" si="14"/>
        <v>10</v>
      </c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</row>
    <row r="618" spans="1:22" ht="13.2">
      <c r="A618" s="42">
        <v>45860</v>
      </c>
      <c r="B618" s="10">
        <v>1</v>
      </c>
      <c r="C618" s="10" t="s">
        <v>33</v>
      </c>
      <c r="D618" s="10" t="s">
        <v>23</v>
      </c>
      <c r="E618" s="10" t="s">
        <v>347</v>
      </c>
      <c r="F618" s="10">
        <v>7</v>
      </c>
      <c r="G618" s="10">
        <f t="shared" si="14"/>
        <v>7</v>
      </c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</row>
    <row r="619" spans="1:22" ht="13.2">
      <c r="A619" s="42">
        <v>45862</v>
      </c>
      <c r="B619" s="10">
        <v>1</v>
      </c>
      <c r="C619" s="10" t="s">
        <v>344</v>
      </c>
      <c r="D619" s="10" t="s">
        <v>27</v>
      </c>
      <c r="E619" s="21" t="s">
        <v>348</v>
      </c>
      <c r="F619" s="3">
        <v>900</v>
      </c>
      <c r="G619" s="10">
        <f t="shared" si="14"/>
        <v>900</v>
      </c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</row>
    <row r="620" spans="1:22" ht="13.2">
      <c r="A620" s="42">
        <v>45863</v>
      </c>
      <c r="B620" s="10">
        <v>1</v>
      </c>
      <c r="C620" s="10" t="s">
        <v>79</v>
      </c>
      <c r="D620" s="10" t="s">
        <v>31</v>
      </c>
      <c r="E620" s="10" t="s">
        <v>349</v>
      </c>
      <c r="F620" s="10">
        <v>100</v>
      </c>
      <c r="G620" s="10">
        <f t="shared" si="14"/>
        <v>100</v>
      </c>
      <c r="H620" s="2"/>
      <c r="I620" s="10"/>
      <c r="J620" s="10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</row>
    <row r="621" spans="1:22" ht="13.2">
      <c r="A621" s="42">
        <v>45863</v>
      </c>
      <c r="B621" s="10">
        <v>1</v>
      </c>
      <c r="C621" s="10" t="s">
        <v>33</v>
      </c>
      <c r="D621" s="10" t="s">
        <v>23</v>
      </c>
      <c r="E621" s="10" t="s">
        <v>281</v>
      </c>
      <c r="F621" s="10">
        <v>33</v>
      </c>
      <c r="G621" s="10">
        <f t="shared" si="14"/>
        <v>33</v>
      </c>
      <c r="H621" s="2"/>
      <c r="I621" s="10"/>
      <c r="J621" s="10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</row>
    <row r="622" spans="1:22" ht="13.2">
      <c r="A622" s="42">
        <v>45864</v>
      </c>
      <c r="B622" s="10">
        <v>1</v>
      </c>
      <c r="C622" s="10" t="s">
        <v>31</v>
      </c>
      <c r="D622" s="10" t="s">
        <v>31</v>
      </c>
      <c r="E622" s="10" t="s">
        <v>350</v>
      </c>
      <c r="F622" s="10">
        <v>83.9</v>
      </c>
      <c r="G622" s="10">
        <f t="shared" si="14"/>
        <v>83.9</v>
      </c>
      <c r="H622" s="2"/>
      <c r="I622" s="10"/>
      <c r="J622" s="10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</row>
    <row r="623" spans="1:22" ht="13.2">
      <c r="A623" s="42">
        <v>45864</v>
      </c>
      <c r="B623" s="10">
        <v>1</v>
      </c>
      <c r="C623" s="10" t="s">
        <v>283</v>
      </c>
      <c r="D623" s="10" t="s">
        <v>23</v>
      </c>
      <c r="E623" s="10" t="s">
        <v>351</v>
      </c>
      <c r="F623" s="10">
        <v>939.9</v>
      </c>
      <c r="G623" s="10">
        <f t="shared" si="14"/>
        <v>939.9</v>
      </c>
      <c r="H623" s="2"/>
      <c r="I623" s="10"/>
      <c r="J623" s="10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</row>
    <row r="624" spans="1:22" ht="13.2">
      <c r="A624" s="42">
        <v>45865</v>
      </c>
      <c r="B624" s="10">
        <v>1</v>
      </c>
      <c r="C624" s="10" t="s">
        <v>22</v>
      </c>
      <c r="D624" s="10" t="s">
        <v>23</v>
      </c>
      <c r="E624" s="10" t="s">
        <v>352</v>
      </c>
      <c r="F624" s="10">
        <v>120</v>
      </c>
      <c r="G624" s="10">
        <f t="shared" si="14"/>
        <v>120</v>
      </c>
      <c r="H624" s="2"/>
      <c r="I624" s="10"/>
      <c r="J624" s="10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</row>
    <row r="625" spans="1:22" ht="13.2">
      <c r="A625" s="42">
        <v>45865</v>
      </c>
      <c r="B625" s="10">
        <v>1</v>
      </c>
      <c r="C625" s="10" t="s">
        <v>283</v>
      </c>
      <c r="D625" s="10" t="s">
        <v>23</v>
      </c>
      <c r="E625" s="10" t="s">
        <v>353</v>
      </c>
      <c r="F625" s="10">
        <v>38.799999999999997</v>
      </c>
      <c r="G625" s="10">
        <f t="shared" si="14"/>
        <v>38.799999999999997</v>
      </c>
      <c r="H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</row>
    <row r="626" spans="1:22" ht="13.2">
      <c r="A626" s="42">
        <v>45865</v>
      </c>
      <c r="B626" s="10">
        <v>1</v>
      </c>
      <c r="C626" s="10" t="s">
        <v>283</v>
      </c>
      <c r="D626" s="10" t="s">
        <v>23</v>
      </c>
      <c r="E626" s="10" t="s">
        <v>354</v>
      </c>
      <c r="F626" s="10">
        <v>80</v>
      </c>
      <c r="G626" s="10">
        <f t="shared" si="14"/>
        <v>80</v>
      </c>
      <c r="H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</row>
    <row r="627" spans="1:22" ht="13.2">
      <c r="A627" s="42">
        <v>45868</v>
      </c>
      <c r="B627" s="10">
        <v>1</v>
      </c>
      <c r="C627" s="10" t="s">
        <v>40</v>
      </c>
      <c r="D627" s="10" t="s">
        <v>40</v>
      </c>
      <c r="E627" s="10" t="s">
        <v>220</v>
      </c>
      <c r="F627" s="10">
        <v>1120.2</v>
      </c>
      <c r="G627" s="10">
        <f t="shared" si="14"/>
        <v>1120.2</v>
      </c>
      <c r="H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</row>
    <row r="628" spans="1:22" ht="13.2">
      <c r="A628" s="42">
        <v>45868</v>
      </c>
      <c r="B628" s="10">
        <v>1</v>
      </c>
      <c r="C628" s="10" t="s">
        <v>40</v>
      </c>
      <c r="D628" s="10" t="s">
        <v>40</v>
      </c>
      <c r="E628" s="10" t="s">
        <v>297</v>
      </c>
      <c r="F628" s="10">
        <v>131.25</v>
      </c>
      <c r="G628" s="10">
        <f t="shared" si="14"/>
        <v>131.25</v>
      </c>
      <c r="H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</row>
    <row r="629" spans="1:22" ht="13.2">
      <c r="A629" s="42">
        <v>45868</v>
      </c>
      <c r="B629" s="10">
        <v>1</v>
      </c>
      <c r="C629" s="10" t="s">
        <v>40</v>
      </c>
      <c r="D629" s="10" t="s">
        <v>40</v>
      </c>
      <c r="E629" s="10" t="s">
        <v>181</v>
      </c>
      <c r="F629" s="10">
        <v>270</v>
      </c>
      <c r="G629" s="10">
        <f t="shared" si="14"/>
        <v>270</v>
      </c>
      <c r="H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</row>
    <row r="630" spans="1:22" ht="13.2">
      <c r="A630" s="42">
        <v>45868</v>
      </c>
      <c r="B630" s="10">
        <v>1</v>
      </c>
      <c r="C630" s="10" t="s">
        <v>40</v>
      </c>
      <c r="D630" s="10" t="s">
        <v>40</v>
      </c>
      <c r="E630" s="10" t="s">
        <v>182</v>
      </c>
      <c r="F630" s="10">
        <v>187.5</v>
      </c>
      <c r="G630" s="10">
        <f t="shared" si="14"/>
        <v>187.5</v>
      </c>
      <c r="H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</row>
    <row r="631" spans="1:22" ht="13.2">
      <c r="A631" s="42">
        <v>45868</v>
      </c>
      <c r="B631" s="10">
        <v>1</v>
      </c>
      <c r="C631" s="10" t="s">
        <v>40</v>
      </c>
      <c r="D631" s="10" t="s">
        <v>40</v>
      </c>
      <c r="E631" s="10" t="s">
        <v>173</v>
      </c>
      <c r="F631" s="10">
        <v>1417.5</v>
      </c>
      <c r="G631" s="10">
        <f t="shared" si="14"/>
        <v>1417.5</v>
      </c>
      <c r="H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</row>
    <row r="632" spans="1:22" ht="13.2">
      <c r="A632" s="42">
        <v>45869</v>
      </c>
      <c r="B632" s="21">
        <v>1</v>
      </c>
      <c r="C632" s="10" t="s">
        <v>22</v>
      </c>
      <c r="D632" s="10" t="s">
        <v>23</v>
      </c>
      <c r="E632" s="21" t="s">
        <v>84</v>
      </c>
      <c r="F632" s="10">
        <v>294.42</v>
      </c>
      <c r="G632" s="10">
        <f t="shared" ref="G632:G641" si="15">F632*B632+(F632*B632*0.4)</f>
        <v>412.18800000000005</v>
      </c>
      <c r="H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</row>
    <row r="633" spans="1:22" ht="13.2">
      <c r="A633" s="42">
        <v>45869</v>
      </c>
      <c r="B633" s="21">
        <v>1</v>
      </c>
      <c r="C633" s="10" t="s">
        <v>253</v>
      </c>
      <c r="D633" s="10" t="s">
        <v>23</v>
      </c>
      <c r="E633" s="21" t="s">
        <v>84</v>
      </c>
      <c r="F633" s="10">
        <f t="shared" ref="F633:F634" si="16">558.05/2</f>
        <v>279.02499999999998</v>
      </c>
      <c r="G633" s="10">
        <f t="shared" si="15"/>
        <v>390.63499999999999</v>
      </c>
      <c r="H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</row>
    <row r="634" spans="1:22" ht="13.2">
      <c r="A634" s="42">
        <v>45869</v>
      </c>
      <c r="B634" s="21">
        <v>1</v>
      </c>
      <c r="C634" s="10" t="s">
        <v>283</v>
      </c>
      <c r="D634" s="10" t="s">
        <v>23</v>
      </c>
      <c r="E634" s="21" t="s">
        <v>84</v>
      </c>
      <c r="F634" s="10">
        <f t="shared" si="16"/>
        <v>279.02499999999998</v>
      </c>
      <c r="G634" s="10">
        <f t="shared" si="15"/>
        <v>390.63499999999999</v>
      </c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</row>
    <row r="635" spans="1:22" ht="13.2">
      <c r="A635" s="42">
        <v>45869</v>
      </c>
      <c r="B635" s="21">
        <v>1</v>
      </c>
      <c r="C635" s="10" t="s">
        <v>252</v>
      </c>
      <c r="D635" s="10" t="s">
        <v>23</v>
      </c>
      <c r="E635" s="21" t="s">
        <v>84</v>
      </c>
      <c r="F635" s="10">
        <v>1157.6600000000001</v>
      </c>
      <c r="G635" s="10">
        <f t="shared" si="15"/>
        <v>1620.7240000000002</v>
      </c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</row>
    <row r="636" spans="1:22" ht="13.2">
      <c r="A636" s="42">
        <v>45869</v>
      </c>
      <c r="B636" s="21">
        <v>1</v>
      </c>
      <c r="C636" s="10" t="s">
        <v>33</v>
      </c>
      <c r="D636" s="10" t="s">
        <v>23</v>
      </c>
      <c r="E636" s="21" t="s">
        <v>84</v>
      </c>
      <c r="F636" s="10">
        <v>242.82</v>
      </c>
      <c r="G636" s="10">
        <f t="shared" si="15"/>
        <v>339.94799999999998</v>
      </c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</row>
    <row r="637" spans="1:22" ht="13.2">
      <c r="A637" s="42">
        <v>45869</v>
      </c>
      <c r="B637" s="21">
        <v>1</v>
      </c>
      <c r="C637" s="10" t="s">
        <v>205</v>
      </c>
      <c r="D637" s="10" t="s">
        <v>23</v>
      </c>
      <c r="E637" s="21" t="s">
        <v>84</v>
      </c>
      <c r="F637" s="10">
        <f t="shared" ref="F637:F639" si="17">681.04/3</f>
        <v>227.01333333333332</v>
      </c>
      <c r="G637" s="10">
        <f t="shared" si="15"/>
        <v>317.81866666666667</v>
      </c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</row>
    <row r="638" spans="1:22" ht="13.2">
      <c r="A638" s="42">
        <v>45869</v>
      </c>
      <c r="B638" s="21">
        <v>1</v>
      </c>
      <c r="C638" s="10" t="s">
        <v>35</v>
      </c>
      <c r="D638" s="10" t="s">
        <v>23</v>
      </c>
      <c r="E638" s="21" t="s">
        <v>84</v>
      </c>
      <c r="F638" s="10">
        <f t="shared" si="17"/>
        <v>227.01333333333332</v>
      </c>
      <c r="G638" s="10">
        <f t="shared" si="15"/>
        <v>317.81866666666667</v>
      </c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</row>
    <row r="639" spans="1:22" ht="13.2">
      <c r="A639" s="42">
        <v>45869</v>
      </c>
      <c r="B639" s="21">
        <v>1</v>
      </c>
      <c r="C639" s="10" t="s">
        <v>284</v>
      </c>
      <c r="D639" s="10" t="s">
        <v>23</v>
      </c>
      <c r="E639" s="21" t="s">
        <v>84</v>
      </c>
      <c r="F639" s="10">
        <f t="shared" si="17"/>
        <v>227.01333333333332</v>
      </c>
      <c r="G639" s="10">
        <f t="shared" si="15"/>
        <v>317.81866666666667</v>
      </c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</row>
    <row r="640" spans="1:22" ht="13.2">
      <c r="A640" s="42">
        <v>45869</v>
      </c>
      <c r="B640" s="21">
        <v>1</v>
      </c>
      <c r="C640" s="10" t="s">
        <v>56</v>
      </c>
      <c r="D640" s="10" t="s">
        <v>56</v>
      </c>
      <c r="E640" s="21" t="s">
        <v>84</v>
      </c>
      <c r="F640" s="10">
        <v>345.8</v>
      </c>
      <c r="G640" s="10">
        <f t="shared" si="15"/>
        <v>484.12</v>
      </c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</row>
    <row r="641" spans="1:22" ht="13.2">
      <c r="A641" s="42">
        <v>45869</v>
      </c>
      <c r="B641" s="21">
        <v>1</v>
      </c>
      <c r="C641" s="10" t="s">
        <v>40</v>
      </c>
      <c r="D641" s="10" t="s">
        <v>40</v>
      </c>
      <c r="E641" s="21" t="s">
        <v>84</v>
      </c>
      <c r="F641" s="10">
        <f>128.67+1278.78</f>
        <v>1407.45</v>
      </c>
      <c r="G641" s="10">
        <f t="shared" si="15"/>
        <v>1970.43</v>
      </c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</row>
    <row r="642" spans="1:22" ht="13.2">
      <c r="A642" s="42">
        <v>45869</v>
      </c>
      <c r="B642" s="21">
        <v>1</v>
      </c>
      <c r="C642" s="10" t="s">
        <v>60</v>
      </c>
      <c r="D642" s="10" t="s">
        <v>23</v>
      </c>
      <c r="E642" s="23" t="s">
        <v>165</v>
      </c>
      <c r="F642" s="10">
        <v>517.35</v>
      </c>
      <c r="G642" s="10">
        <f t="shared" ref="G642:G776" si="18">F642*B642</f>
        <v>517.35</v>
      </c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</row>
    <row r="643" spans="1:22" ht="13.2">
      <c r="A643" s="42">
        <v>45869</v>
      </c>
      <c r="B643" s="21">
        <v>1</v>
      </c>
      <c r="C643" s="10" t="s">
        <v>60</v>
      </c>
      <c r="D643" s="10" t="s">
        <v>23</v>
      </c>
      <c r="E643" s="21" t="s">
        <v>160</v>
      </c>
      <c r="F643" s="10">
        <v>568.75</v>
      </c>
      <c r="G643" s="10">
        <f t="shared" si="18"/>
        <v>568.75</v>
      </c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</row>
    <row r="644" spans="1:22" ht="13.2">
      <c r="A644" s="42">
        <v>45869</v>
      </c>
      <c r="B644" s="21">
        <v>1</v>
      </c>
      <c r="C644" s="10" t="s">
        <v>60</v>
      </c>
      <c r="D644" s="10" t="s">
        <v>23</v>
      </c>
      <c r="E644" s="21" t="s">
        <v>355</v>
      </c>
      <c r="F644" s="10">
        <v>440</v>
      </c>
      <c r="G644" s="10">
        <f t="shared" si="18"/>
        <v>440</v>
      </c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</row>
    <row r="645" spans="1:22" ht="13.2">
      <c r="A645" s="42">
        <v>45869</v>
      </c>
      <c r="B645" s="21">
        <v>1</v>
      </c>
      <c r="C645" s="10" t="s">
        <v>60</v>
      </c>
      <c r="D645" s="10" t="s">
        <v>23</v>
      </c>
      <c r="E645" s="21" t="s">
        <v>356</v>
      </c>
      <c r="F645" s="10">
        <v>685.06</v>
      </c>
      <c r="G645" s="10">
        <f t="shared" si="18"/>
        <v>685.06</v>
      </c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</row>
    <row r="646" spans="1:22" ht="13.2">
      <c r="A646" s="42">
        <v>45869</v>
      </c>
      <c r="B646" s="21">
        <v>1</v>
      </c>
      <c r="C646" s="10" t="s">
        <v>55</v>
      </c>
      <c r="D646" s="10" t="s">
        <v>31</v>
      </c>
      <c r="E646" s="21" t="s">
        <v>196</v>
      </c>
      <c r="F646" s="10">
        <v>1327.77</v>
      </c>
      <c r="G646" s="10">
        <f t="shared" si="18"/>
        <v>1327.77</v>
      </c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</row>
    <row r="647" spans="1:22" ht="13.2">
      <c r="A647" s="42">
        <v>45869</v>
      </c>
      <c r="B647" s="21">
        <v>1</v>
      </c>
      <c r="C647" s="10" t="s">
        <v>55</v>
      </c>
      <c r="D647" s="10" t="s">
        <v>31</v>
      </c>
      <c r="E647" s="21" t="s">
        <v>202</v>
      </c>
      <c r="F647" s="10">
        <v>1731.52</v>
      </c>
      <c r="G647" s="10">
        <f t="shared" si="18"/>
        <v>1731.52</v>
      </c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</row>
    <row r="648" spans="1:22" ht="13.2">
      <c r="A648" s="42">
        <v>45869</v>
      </c>
      <c r="B648" s="21">
        <v>1</v>
      </c>
      <c r="C648" s="10" t="s">
        <v>55</v>
      </c>
      <c r="D648" s="10" t="s">
        <v>31</v>
      </c>
      <c r="E648" s="21" t="s">
        <v>197</v>
      </c>
      <c r="F648" s="10">
        <v>1121.52</v>
      </c>
      <c r="G648" s="10">
        <f t="shared" si="18"/>
        <v>1121.52</v>
      </c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</row>
    <row r="649" spans="1:22" ht="13.2">
      <c r="A649" s="42">
        <v>45869</v>
      </c>
      <c r="B649" s="21">
        <v>1</v>
      </c>
      <c r="C649" s="10" t="s">
        <v>79</v>
      </c>
      <c r="D649" s="10" t="s">
        <v>31</v>
      </c>
      <c r="E649" s="21" t="s">
        <v>198</v>
      </c>
      <c r="F649" s="10">
        <v>1459.74</v>
      </c>
      <c r="G649" s="10">
        <f t="shared" si="18"/>
        <v>1459.74</v>
      </c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</row>
    <row r="650" spans="1:22" ht="13.2">
      <c r="A650" s="42">
        <v>45869</v>
      </c>
      <c r="B650" s="21">
        <v>1</v>
      </c>
      <c r="C650" s="10" t="s">
        <v>79</v>
      </c>
      <c r="D650" s="10" t="s">
        <v>31</v>
      </c>
      <c r="E650" s="21" t="s">
        <v>250</v>
      </c>
      <c r="F650" s="10">
        <v>1757.14</v>
      </c>
      <c r="G650" s="10">
        <f t="shared" si="18"/>
        <v>1757.14</v>
      </c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</row>
    <row r="651" spans="1:22" ht="13.2">
      <c r="A651" s="42">
        <v>45869</v>
      </c>
      <c r="B651" s="21">
        <v>1</v>
      </c>
      <c r="C651" s="10" t="s">
        <v>79</v>
      </c>
      <c r="D651" s="10" t="s">
        <v>31</v>
      </c>
      <c r="E651" s="21" t="s">
        <v>357</v>
      </c>
      <c r="F651" s="10">
        <v>824.16399999999999</v>
      </c>
      <c r="G651" s="10">
        <f t="shared" si="18"/>
        <v>824.16399999999999</v>
      </c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</row>
    <row r="652" spans="1:22" ht="13.2">
      <c r="A652" s="42">
        <v>45869</v>
      </c>
      <c r="B652" s="21">
        <v>1</v>
      </c>
      <c r="C652" s="10" t="s">
        <v>79</v>
      </c>
      <c r="D652" s="10" t="s">
        <v>31</v>
      </c>
      <c r="E652" s="21" t="s">
        <v>358</v>
      </c>
      <c r="F652" s="10">
        <v>566.29</v>
      </c>
      <c r="G652" s="10">
        <f t="shared" si="18"/>
        <v>566.29</v>
      </c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</row>
    <row r="653" spans="1:22" ht="13.2">
      <c r="A653" s="42">
        <v>45869</v>
      </c>
      <c r="B653" s="21">
        <v>1</v>
      </c>
      <c r="C653" s="10" t="s">
        <v>79</v>
      </c>
      <c r="D653" s="10" t="s">
        <v>31</v>
      </c>
      <c r="E653" s="21" t="s">
        <v>359</v>
      </c>
      <c r="F653" s="10">
        <v>759.87083333333305</v>
      </c>
      <c r="G653" s="10">
        <f t="shared" si="18"/>
        <v>759.87083333333305</v>
      </c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</row>
    <row r="654" spans="1:22" ht="13.2">
      <c r="A654" s="42">
        <v>45869</v>
      </c>
      <c r="B654" s="21">
        <v>1</v>
      </c>
      <c r="C654" s="10" t="s">
        <v>123</v>
      </c>
      <c r="D654" s="10" t="s">
        <v>23</v>
      </c>
      <c r="E654" s="21" t="s">
        <v>360</v>
      </c>
      <c r="F654" s="10">
        <v>2367.4</v>
      </c>
      <c r="G654" s="10">
        <f t="shared" si="18"/>
        <v>2367.4</v>
      </c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</row>
    <row r="655" spans="1:22" ht="13.2">
      <c r="A655" s="158">
        <v>45870</v>
      </c>
      <c r="B655" s="23">
        <v>2</v>
      </c>
      <c r="C655" s="23" t="s">
        <v>25</v>
      </c>
      <c r="D655" s="23" t="s">
        <v>25</v>
      </c>
      <c r="E655" s="23" t="s">
        <v>168</v>
      </c>
      <c r="F655" s="23">
        <v>100</v>
      </c>
      <c r="G655" s="23">
        <f t="shared" si="18"/>
        <v>200</v>
      </c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</row>
    <row r="656" spans="1:22" ht="13.2">
      <c r="A656" s="158">
        <v>45870</v>
      </c>
      <c r="B656" s="23">
        <v>2</v>
      </c>
      <c r="C656" s="23" t="s">
        <v>25</v>
      </c>
      <c r="D656" s="23" t="s">
        <v>25</v>
      </c>
      <c r="E656" s="23" t="s">
        <v>168</v>
      </c>
      <c r="F656" s="23">
        <v>100</v>
      </c>
      <c r="G656" s="23">
        <f t="shared" si="18"/>
        <v>200</v>
      </c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</row>
    <row r="657" spans="1:22" ht="13.2">
      <c r="A657" s="42">
        <v>45871</v>
      </c>
      <c r="B657" s="21">
        <v>1</v>
      </c>
      <c r="C657" s="10" t="s">
        <v>60</v>
      </c>
      <c r="D657" s="10" t="s">
        <v>23</v>
      </c>
      <c r="E657" s="21" t="s">
        <v>361</v>
      </c>
      <c r="F657" s="10">
        <v>70</v>
      </c>
      <c r="G657" s="10">
        <f t="shared" si="18"/>
        <v>70</v>
      </c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</row>
    <row r="658" spans="1:22" ht="13.2">
      <c r="A658" s="42">
        <v>45871</v>
      </c>
      <c r="B658" s="21">
        <v>1</v>
      </c>
      <c r="C658" s="10" t="s">
        <v>60</v>
      </c>
      <c r="D658" s="10" t="s">
        <v>23</v>
      </c>
      <c r="E658" s="21" t="s">
        <v>10</v>
      </c>
      <c r="F658" s="10">
        <v>60</v>
      </c>
      <c r="G658" s="10">
        <f t="shared" si="18"/>
        <v>60</v>
      </c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</row>
    <row r="659" spans="1:22" ht="13.2">
      <c r="A659" s="42">
        <v>45871</v>
      </c>
      <c r="B659" s="21">
        <v>1</v>
      </c>
      <c r="C659" s="10" t="s">
        <v>344</v>
      </c>
      <c r="D659" s="10" t="s">
        <v>27</v>
      </c>
      <c r="E659" s="10" t="s">
        <v>64</v>
      </c>
      <c r="F659" s="10">
        <v>145</v>
      </c>
      <c r="G659" s="10">
        <f t="shared" si="18"/>
        <v>145</v>
      </c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</row>
    <row r="660" spans="1:22" ht="13.2">
      <c r="A660" s="42">
        <v>45871</v>
      </c>
      <c r="B660" s="21">
        <v>1</v>
      </c>
      <c r="C660" s="10" t="s">
        <v>344</v>
      </c>
      <c r="D660" s="10" t="s">
        <v>27</v>
      </c>
      <c r="E660" s="10" t="s">
        <v>91</v>
      </c>
      <c r="F660" s="10">
        <v>55</v>
      </c>
      <c r="G660" s="10">
        <f t="shared" si="18"/>
        <v>55</v>
      </c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</row>
    <row r="661" spans="1:22" ht="13.2">
      <c r="A661" s="42">
        <v>45871</v>
      </c>
      <c r="B661" s="21">
        <v>1</v>
      </c>
      <c r="C661" s="10" t="s">
        <v>344</v>
      </c>
      <c r="D661" s="10" t="s">
        <v>27</v>
      </c>
      <c r="E661" s="10" t="s">
        <v>91</v>
      </c>
      <c r="F661" s="10">
        <v>195</v>
      </c>
      <c r="G661" s="10">
        <f t="shared" si="18"/>
        <v>195</v>
      </c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</row>
    <row r="662" spans="1:22" ht="13.2">
      <c r="A662" s="42">
        <v>45871</v>
      </c>
      <c r="B662" s="21">
        <v>1</v>
      </c>
      <c r="C662" s="10" t="s">
        <v>344</v>
      </c>
      <c r="D662" s="10" t="s">
        <v>27</v>
      </c>
      <c r="E662" s="10" t="s">
        <v>91</v>
      </c>
      <c r="F662" s="10">
        <v>265</v>
      </c>
      <c r="G662" s="10">
        <f t="shared" si="18"/>
        <v>265</v>
      </c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</row>
    <row r="663" spans="1:22" ht="13.2">
      <c r="A663" s="42">
        <v>45871</v>
      </c>
      <c r="B663" s="21">
        <v>1</v>
      </c>
      <c r="C663" s="10" t="s">
        <v>362</v>
      </c>
      <c r="D663" s="10" t="s">
        <v>31</v>
      </c>
      <c r="E663" s="21" t="s">
        <v>363</v>
      </c>
      <c r="F663" s="10">
        <v>13</v>
      </c>
      <c r="G663" s="10">
        <f t="shared" si="18"/>
        <v>13</v>
      </c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</row>
    <row r="664" spans="1:22" ht="13.2">
      <c r="A664" s="42">
        <v>45871</v>
      </c>
      <c r="B664" s="21">
        <v>1</v>
      </c>
      <c r="C664" s="10" t="s">
        <v>362</v>
      </c>
      <c r="D664" s="10" t="s">
        <v>31</v>
      </c>
      <c r="E664" s="21" t="s">
        <v>364</v>
      </c>
      <c r="F664" s="10">
        <v>15</v>
      </c>
      <c r="G664" s="10">
        <f t="shared" si="18"/>
        <v>15</v>
      </c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</row>
    <row r="665" spans="1:22" ht="13.2">
      <c r="A665" s="42">
        <v>45871</v>
      </c>
      <c r="B665" s="21">
        <v>3</v>
      </c>
      <c r="C665" s="10" t="s">
        <v>362</v>
      </c>
      <c r="D665" s="10" t="s">
        <v>31</v>
      </c>
      <c r="E665" s="21" t="s">
        <v>365</v>
      </c>
      <c r="F665" s="10">
        <v>1</v>
      </c>
      <c r="G665" s="10">
        <f t="shared" si="18"/>
        <v>3</v>
      </c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</row>
    <row r="666" spans="1:22" ht="13.2">
      <c r="A666" s="42">
        <v>45871</v>
      </c>
      <c r="B666" s="21">
        <v>1</v>
      </c>
      <c r="C666" s="10" t="s">
        <v>362</v>
      </c>
      <c r="D666" s="10" t="s">
        <v>31</v>
      </c>
      <c r="E666" s="21" t="s">
        <v>366</v>
      </c>
      <c r="F666" s="10">
        <v>3</v>
      </c>
      <c r="G666" s="10">
        <f t="shared" si="18"/>
        <v>3</v>
      </c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</row>
    <row r="667" spans="1:22" ht="13.2">
      <c r="A667" s="42">
        <v>45871</v>
      </c>
      <c r="B667" s="21">
        <v>1</v>
      </c>
      <c r="C667" s="10" t="s">
        <v>362</v>
      </c>
      <c r="D667" s="10" t="s">
        <v>31</v>
      </c>
      <c r="E667" s="21" t="s">
        <v>367</v>
      </c>
      <c r="F667" s="10">
        <v>2</v>
      </c>
      <c r="G667" s="10">
        <f t="shared" si="18"/>
        <v>2</v>
      </c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</row>
    <row r="668" spans="1:22" ht="13.2">
      <c r="A668" s="42">
        <v>45871</v>
      </c>
      <c r="B668" s="21">
        <v>1</v>
      </c>
      <c r="C668" s="10" t="s">
        <v>362</v>
      </c>
      <c r="D668" s="10" t="s">
        <v>31</v>
      </c>
      <c r="E668" s="21" t="s">
        <v>368</v>
      </c>
      <c r="F668" s="10">
        <v>3.5</v>
      </c>
      <c r="G668" s="10">
        <f t="shared" si="18"/>
        <v>3.5</v>
      </c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</row>
    <row r="669" spans="1:22" ht="13.2">
      <c r="A669" s="42">
        <v>45871</v>
      </c>
      <c r="B669" s="21">
        <v>1</v>
      </c>
      <c r="C669" s="10" t="s">
        <v>362</v>
      </c>
      <c r="D669" s="10" t="s">
        <v>31</v>
      </c>
      <c r="E669" s="21" t="s">
        <v>329</v>
      </c>
      <c r="F669" s="10">
        <v>15</v>
      </c>
      <c r="G669" s="10">
        <f t="shared" si="18"/>
        <v>15</v>
      </c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</row>
    <row r="670" spans="1:22" ht="13.2">
      <c r="A670" s="42">
        <v>45873</v>
      </c>
      <c r="B670" s="21">
        <v>1</v>
      </c>
      <c r="C670" s="10" t="s">
        <v>283</v>
      </c>
      <c r="D670" s="10" t="s">
        <v>31</v>
      </c>
      <c r="E670" s="21" t="s">
        <v>369</v>
      </c>
      <c r="F670" s="10">
        <v>120</v>
      </c>
      <c r="G670" s="10">
        <f t="shared" si="18"/>
        <v>120</v>
      </c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</row>
    <row r="671" spans="1:22" ht="13.2">
      <c r="A671" s="42">
        <v>45873</v>
      </c>
      <c r="B671" s="21">
        <v>1</v>
      </c>
      <c r="C671" s="10" t="s">
        <v>344</v>
      </c>
      <c r="D671" s="10" t="s">
        <v>27</v>
      </c>
      <c r="E671" s="10" t="s">
        <v>91</v>
      </c>
      <c r="F671" s="10">
        <v>195</v>
      </c>
      <c r="G671" s="10">
        <f t="shared" si="18"/>
        <v>195</v>
      </c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</row>
    <row r="672" spans="1:22" ht="13.2">
      <c r="A672" s="42">
        <v>45874</v>
      </c>
      <c r="B672" s="21">
        <v>1</v>
      </c>
      <c r="C672" s="10" t="s">
        <v>344</v>
      </c>
      <c r="D672" s="10" t="s">
        <v>27</v>
      </c>
      <c r="E672" s="10" t="s">
        <v>91</v>
      </c>
      <c r="F672" s="10">
        <v>115</v>
      </c>
      <c r="G672" s="10">
        <f t="shared" si="18"/>
        <v>115</v>
      </c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</row>
    <row r="673" spans="1:22" ht="13.2">
      <c r="A673" s="42">
        <v>45874</v>
      </c>
      <c r="B673" s="23">
        <v>1</v>
      </c>
      <c r="C673" s="23" t="s">
        <v>25</v>
      </c>
      <c r="D673" s="23" t="s">
        <v>25</v>
      </c>
      <c r="E673" s="23" t="s">
        <v>231</v>
      </c>
      <c r="F673" s="23">
        <v>100</v>
      </c>
      <c r="G673" s="23">
        <f t="shared" si="18"/>
        <v>100</v>
      </c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</row>
    <row r="674" spans="1:22" ht="13.2">
      <c r="A674" s="42">
        <v>45876</v>
      </c>
      <c r="B674" s="21">
        <v>1</v>
      </c>
      <c r="C674" s="10" t="s">
        <v>31</v>
      </c>
      <c r="D674" s="10" t="s">
        <v>31</v>
      </c>
      <c r="E674" s="21" t="s">
        <v>370</v>
      </c>
      <c r="F674" s="10">
        <v>37</v>
      </c>
      <c r="G674" s="10">
        <f t="shared" si="18"/>
        <v>37</v>
      </c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</row>
    <row r="675" spans="1:22" ht="13.2">
      <c r="A675" s="42">
        <v>45876</v>
      </c>
      <c r="B675" s="21">
        <v>1</v>
      </c>
      <c r="C675" s="10" t="s">
        <v>79</v>
      </c>
      <c r="D675" s="10" t="s">
        <v>31</v>
      </c>
      <c r="E675" s="21" t="s">
        <v>358</v>
      </c>
      <c r="F675" s="10">
        <v>187.7</v>
      </c>
      <c r="G675" s="10">
        <f t="shared" si="18"/>
        <v>187.7</v>
      </c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</row>
    <row r="676" spans="1:22" ht="13.2">
      <c r="A676" s="42">
        <v>45876</v>
      </c>
      <c r="B676" s="10">
        <v>1</v>
      </c>
      <c r="C676" s="10" t="s">
        <v>25</v>
      </c>
      <c r="D676" s="10" t="s">
        <v>25</v>
      </c>
      <c r="E676" s="10" t="s">
        <v>310</v>
      </c>
      <c r="F676" s="21">
        <v>120</v>
      </c>
      <c r="G676" s="10">
        <f t="shared" si="18"/>
        <v>120</v>
      </c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</row>
    <row r="677" spans="1:22" ht="13.2">
      <c r="A677" s="42">
        <v>45878</v>
      </c>
      <c r="B677" s="21">
        <v>1</v>
      </c>
      <c r="C677" s="10" t="s">
        <v>344</v>
      </c>
      <c r="D677" s="10" t="s">
        <v>27</v>
      </c>
      <c r="E677" s="10" t="s">
        <v>91</v>
      </c>
      <c r="F677" s="10">
        <v>95</v>
      </c>
      <c r="G677" s="10">
        <f t="shared" si="18"/>
        <v>95</v>
      </c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</row>
    <row r="678" spans="1:22" ht="13.2">
      <c r="A678" s="42">
        <v>45880</v>
      </c>
      <c r="B678" s="21">
        <v>1</v>
      </c>
      <c r="C678" s="10" t="s">
        <v>40</v>
      </c>
      <c r="D678" s="10" t="s">
        <v>40</v>
      </c>
      <c r="E678" s="21" t="s">
        <v>173</v>
      </c>
      <c r="F678" s="10">
        <v>1417.5</v>
      </c>
      <c r="G678" s="10">
        <f t="shared" si="18"/>
        <v>1417.5</v>
      </c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</row>
    <row r="679" spans="1:22" ht="13.2">
      <c r="A679" s="42">
        <v>45880</v>
      </c>
      <c r="B679" s="21">
        <v>1</v>
      </c>
      <c r="C679" s="10" t="s">
        <v>40</v>
      </c>
      <c r="D679" s="10" t="s">
        <v>40</v>
      </c>
      <c r="E679" s="21" t="s">
        <v>181</v>
      </c>
      <c r="F679" s="10">
        <v>270</v>
      </c>
      <c r="G679" s="10">
        <f t="shared" si="18"/>
        <v>270</v>
      </c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</row>
    <row r="680" spans="1:22" ht="13.2">
      <c r="A680" s="42">
        <v>45880</v>
      </c>
      <c r="B680" s="21">
        <v>1</v>
      </c>
      <c r="C680" s="10" t="s">
        <v>40</v>
      </c>
      <c r="D680" s="10" t="s">
        <v>40</v>
      </c>
      <c r="E680" s="10" t="s">
        <v>268</v>
      </c>
      <c r="F680" s="10">
        <v>75</v>
      </c>
      <c r="G680" s="10">
        <f t="shared" si="18"/>
        <v>75</v>
      </c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</row>
    <row r="681" spans="1:22" ht="13.2">
      <c r="A681" s="42">
        <v>45880</v>
      </c>
      <c r="B681" s="21">
        <v>1</v>
      </c>
      <c r="C681" s="10" t="s">
        <v>25</v>
      </c>
      <c r="D681" s="10" t="s">
        <v>25</v>
      </c>
      <c r="E681" s="21" t="s">
        <v>371</v>
      </c>
      <c r="F681" s="10">
        <v>3000</v>
      </c>
      <c r="G681" s="10">
        <f t="shared" si="18"/>
        <v>3000</v>
      </c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</row>
    <row r="682" spans="1:22" ht="13.2">
      <c r="A682" s="42">
        <v>45882</v>
      </c>
      <c r="B682" s="21">
        <v>1</v>
      </c>
      <c r="C682" s="10" t="s">
        <v>33</v>
      </c>
      <c r="D682" s="10" t="s">
        <v>23</v>
      </c>
      <c r="E682" s="21" t="s">
        <v>372</v>
      </c>
      <c r="F682" s="10">
        <v>12.9</v>
      </c>
      <c r="G682" s="10">
        <f t="shared" si="18"/>
        <v>12.9</v>
      </c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</row>
    <row r="683" spans="1:22" ht="13.2">
      <c r="A683" s="42">
        <v>45882</v>
      </c>
      <c r="B683" s="21">
        <v>1</v>
      </c>
      <c r="C683" s="10" t="s">
        <v>362</v>
      </c>
      <c r="D683" s="10" t="s">
        <v>23</v>
      </c>
      <c r="E683" s="21" t="s">
        <v>373</v>
      </c>
      <c r="F683" s="10">
        <v>37.9</v>
      </c>
      <c r="G683" s="10">
        <f t="shared" si="18"/>
        <v>37.9</v>
      </c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</row>
    <row r="684" spans="1:22" ht="13.2">
      <c r="A684" s="42">
        <v>45882</v>
      </c>
      <c r="B684" s="21">
        <v>1</v>
      </c>
      <c r="C684" s="10" t="s">
        <v>33</v>
      </c>
      <c r="D684" s="10" t="s">
        <v>23</v>
      </c>
      <c r="E684" s="21" t="s">
        <v>374</v>
      </c>
      <c r="F684" s="10">
        <v>39.9</v>
      </c>
      <c r="G684" s="10">
        <f t="shared" si="18"/>
        <v>39.9</v>
      </c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</row>
    <row r="685" spans="1:22" ht="13.2">
      <c r="A685" s="42">
        <v>45882</v>
      </c>
      <c r="B685" s="21">
        <v>2</v>
      </c>
      <c r="C685" s="10" t="s">
        <v>33</v>
      </c>
      <c r="D685" s="10" t="s">
        <v>23</v>
      </c>
      <c r="E685" s="21" t="s">
        <v>281</v>
      </c>
      <c r="F685" s="10">
        <v>22.9</v>
      </c>
      <c r="G685" s="10">
        <f t="shared" si="18"/>
        <v>45.8</v>
      </c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</row>
    <row r="686" spans="1:22" ht="13.2">
      <c r="A686" s="42">
        <v>45882</v>
      </c>
      <c r="B686" s="21">
        <v>2</v>
      </c>
      <c r="C686" s="10" t="s">
        <v>31</v>
      </c>
      <c r="D686" s="10" t="s">
        <v>23</v>
      </c>
      <c r="E686" s="21" t="s">
        <v>375</v>
      </c>
      <c r="F686" s="10">
        <v>0.2</v>
      </c>
      <c r="G686" s="10">
        <f t="shared" si="18"/>
        <v>0.4</v>
      </c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</row>
    <row r="687" spans="1:22" ht="13.2">
      <c r="A687" s="42">
        <v>45883</v>
      </c>
      <c r="B687" s="21">
        <v>7</v>
      </c>
      <c r="C687" s="10" t="s">
        <v>33</v>
      </c>
      <c r="D687" s="10" t="s">
        <v>23</v>
      </c>
      <c r="E687" s="21" t="s">
        <v>281</v>
      </c>
      <c r="F687" s="10">
        <v>22.9</v>
      </c>
      <c r="G687" s="10">
        <f t="shared" si="18"/>
        <v>160.29999999999998</v>
      </c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</row>
    <row r="688" spans="1:22" ht="13.2">
      <c r="A688" s="42">
        <v>45883</v>
      </c>
      <c r="B688" s="21">
        <v>1</v>
      </c>
      <c r="C688" s="10" t="s">
        <v>31</v>
      </c>
      <c r="D688" s="10" t="s">
        <v>23</v>
      </c>
      <c r="E688" s="21" t="s">
        <v>376</v>
      </c>
      <c r="F688" s="10">
        <v>39.9</v>
      </c>
      <c r="G688" s="10">
        <f t="shared" si="18"/>
        <v>39.9</v>
      </c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</row>
    <row r="689" spans="1:22" ht="13.2">
      <c r="A689" s="42">
        <v>45883</v>
      </c>
      <c r="B689" s="21">
        <v>2</v>
      </c>
      <c r="C689" s="10" t="s">
        <v>31</v>
      </c>
      <c r="D689" s="10" t="s">
        <v>23</v>
      </c>
      <c r="E689" s="21" t="s">
        <v>376</v>
      </c>
      <c r="F689" s="10">
        <v>39.9</v>
      </c>
      <c r="G689" s="10">
        <f t="shared" si="18"/>
        <v>79.8</v>
      </c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</row>
    <row r="690" spans="1:22" ht="13.2">
      <c r="A690" s="42">
        <v>45883</v>
      </c>
      <c r="B690" s="21">
        <v>1</v>
      </c>
      <c r="C690" s="10" t="s">
        <v>31</v>
      </c>
      <c r="D690" s="10" t="s">
        <v>23</v>
      </c>
      <c r="E690" s="21" t="s">
        <v>377</v>
      </c>
      <c r="F690" s="10">
        <v>4.9000000000000004</v>
      </c>
      <c r="G690" s="10">
        <f t="shared" si="18"/>
        <v>4.9000000000000004</v>
      </c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</row>
    <row r="691" spans="1:22" ht="13.2">
      <c r="A691" s="42">
        <v>45884</v>
      </c>
      <c r="B691" s="21">
        <v>1</v>
      </c>
      <c r="C691" s="10" t="s">
        <v>252</v>
      </c>
      <c r="D691" s="10" t="s">
        <v>23</v>
      </c>
      <c r="E691" s="21" t="s">
        <v>323</v>
      </c>
      <c r="F691" s="10">
        <v>27</v>
      </c>
      <c r="G691" s="10">
        <f t="shared" si="18"/>
        <v>27</v>
      </c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</row>
    <row r="692" spans="1:22" ht="13.2">
      <c r="A692" s="42">
        <v>45884</v>
      </c>
      <c r="B692" s="21">
        <v>6</v>
      </c>
      <c r="C692" s="10" t="s">
        <v>283</v>
      </c>
      <c r="D692" s="10" t="s">
        <v>23</v>
      </c>
      <c r="E692" s="21" t="s">
        <v>378</v>
      </c>
      <c r="F692" s="10">
        <v>3.5</v>
      </c>
      <c r="G692" s="10">
        <f t="shared" si="18"/>
        <v>21</v>
      </c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</row>
    <row r="693" spans="1:22" ht="13.2">
      <c r="A693" s="42">
        <v>45884</v>
      </c>
      <c r="B693" s="21">
        <v>1</v>
      </c>
      <c r="C693" s="10" t="s">
        <v>283</v>
      </c>
      <c r="D693" s="10" t="s">
        <v>23</v>
      </c>
      <c r="E693" s="21" t="s">
        <v>379</v>
      </c>
      <c r="F693" s="10">
        <v>2</v>
      </c>
      <c r="G693" s="10">
        <f t="shared" si="18"/>
        <v>2</v>
      </c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</row>
    <row r="694" spans="1:22" ht="13.2">
      <c r="A694" s="42">
        <v>45884</v>
      </c>
      <c r="B694" s="21">
        <v>1</v>
      </c>
      <c r="C694" s="10" t="s">
        <v>362</v>
      </c>
      <c r="D694" s="10" t="s">
        <v>23</v>
      </c>
      <c r="E694" s="21" t="s">
        <v>380</v>
      </c>
      <c r="F694" s="10">
        <v>1.5</v>
      </c>
      <c r="G694" s="10">
        <f t="shared" si="18"/>
        <v>1.5</v>
      </c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</row>
    <row r="695" spans="1:22" ht="13.2">
      <c r="A695" s="42">
        <v>45884</v>
      </c>
      <c r="B695" s="21">
        <v>1</v>
      </c>
      <c r="C695" s="10" t="s">
        <v>123</v>
      </c>
      <c r="D695" s="10" t="s">
        <v>23</v>
      </c>
      <c r="E695" s="21" t="s">
        <v>381</v>
      </c>
      <c r="F695" s="10">
        <v>9.3000000000000007</v>
      </c>
      <c r="G695" s="10">
        <f t="shared" si="18"/>
        <v>9.3000000000000007</v>
      </c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</row>
    <row r="696" spans="1:22" ht="13.2">
      <c r="A696" s="42">
        <v>45884</v>
      </c>
      <c r="B696" s="21">
        <v>1</v>
      </c>
      <c r="C696" s="10" t="s">
        <v>31</v>
      </c>
      <c r="D696" s="10" t="s">
        <v>31</v>
      </c>
      <c r="E696" s="21" t="s">
        <v>382</v>
      </c>
      <c r="F696" s="10">
        <v>23.9</v>
      </c>
      <c r="G696" s="10">
        <f t="shared" si="18"/>
        <v>23.9</v>
      </c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</row>
    <row r="697" spans="1:22" ht="13.2">
      <c r="A697" s="42">
        <v>45884</v>
      </c>
      <c r="B697" s="23">
        <v>1</v>
      </c>
      <c r="C697" s="23" t="s">
        <v>31</v>
      </c>
      <c r="D697" s="23" t="s">
        <v>31</v>
      </c>
      <c r="E697" s="23" t="s">
        <v>122</v>
      </c>
      <c r="F697" s="23">
        <v>10000</v>
      </c>
      <c r="G697" s="23">
        <f t="shared" si="18"/>
        <v>10000</v>
      </c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</row>
    <row r="698" spans="1:22" ht="13.2">
      <c r="A698" s="42">
        <v>45884</v>
      </c>
      <c r="B698" s="23">
        <v>1</v>
      </c>
      <c r="C698" s="23" t="s">
        <v>40</v>
      </c>
      <c r="D698" s="23" t="s">
        <v>40</v>
      </c>
      <c r="E698" s="23" t="s">
        <v>116</v>
      </c>
      <c r="F698" s="23">
        <v>40</v>
      </c>
      <c r="G698" s="23">
        <f t="shared" si="18"/>
        <v>40</v>
      </c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</row>
    <row r="699" spans="1:22" ht="13.2">
      <c r="A699" s="42">
        <v>45884</v>
      </c>
      <c r="B699" s="23">
        <v>1</v>
      </c>
      <c r="C699" s="23" t="s">
        <v>31</v>
      </c>
      <c r="D699" s="23" t="s">
        <v>31</v>
      </c>
      <c r="E699" s="23" t="s">
        <v>117</v>
      </c>
      <c r="F699" s="23">
        <v>650</v>
      </c>
      <c r="G699" s="23">
        <f t="shared" si="18"/>
        <v>650</v>
      </c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</row>
    <row r="700" spans="1:22" ht="13.2">
      <c r="A700" s="42">
        <v>45884</v>
      </c>
      <c r="B700" s="23">
        <v>2</v>
      </c>
      <c r="C700" s="23" t="s">
        <v>254</v>
      </c>
      <c r="D700" s="23" t="s">
        <v>31</v>
      </c>
      <c r="E700" s="23" t="s">
        <v>118</v>
      </c>
      <c r="F700" s="23">
        <v>146</v>
      </c>
      <c r="G700" s="23">
        <f t="shared" si="18"/>
        <v>292</v>
      </c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</row>
    <row r="701" spans="1:22" ht="13.2">
      <c r="A701" s="42">
        <v>45884</v>
      </c>
      <c r="B701" s="23">
        <v>1</v>
      </c>
      <c r="C701" s="23" t="s">
        <v>31</v>
      </c>
      <c r="D701" s="23" t="s">
        <v>31</v>
      </c>
      <c r="E701" s="23" t="s">
        <v>119</v>
      </c>
      <c r="F701" s="23">
        <v>430</v>
      </c>
      <c r="G701" s="23">
        <f t="shared" si="18"/>
        <v>430</v>
      </c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</row>
    <row r="702" spans="1:22" ht="13.2">
      <c r="A702" s="42">
        <v>45884</v>
      </c>
      <c r="B702" s="23">
        <v>1</v>
      </c>
      <c r="C702" s="23" t="s">
        <v>194</v>
      </c>
      <c r="D702" s="23" t="s">
        <v>31</v>
      </c>
      <c r="E702" s="23" t="s">
        <v>120</v>
      </c>
      <c r="F702" s="23">
        <v>80</v>
      </c>
      <c r="G702" s="23">
        <f t="shared" si="18"/>
        <v>80</v>
      </c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</row>
    <row r="703" spans="1:22" ht="13.2">
      <c r="A703" s="42">
        <v>45884</v>
      </c>
      <c r="B703" s="23">
        <v>2</v>
      </c>
      <c r="C703" s="23" t="s">
        <v>194</v>
      </c>
      <c r="D703" s="23" t="s">
        <v>31</v>
      </c>
      <c r="E703" s="23" t="s">
        <v>121</v>
      </c>
      <c r="F703" s="23">
        <v>74</v>
      </c>
      <c r="G703" s="23">
        <f t="shared" si="18"/>
        <v>148</v>
      </c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</row>
    <row r="704" spans="1:22" ht="13.2">
      <c r="A704" s="42">
        <v>45884</v>
      </c>
      <c r="B704" s="23">
        <v>1</v>
      </c>
      <c r="C704" s="23" t="s">
        <v>194</v>
      </c>
      <c r="D704" s="23" t="s">
        <v>31</v>
      </c>
      <c r="E704" s="23" t="s">
        <v>287</v>
      </c>
      <c r="F704" s="23">
        <v>80</v>
      </c>
      <c r="G704" s="23">
        <f t="shared" si="18"/>
        <v>80</v>
      </c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</row>
    <row r="705" spans="1:22" ht="13.2">
      <c r="A705" s="42">
        <v>45884</v>
      </c>
      <c r="B705" s="23">
        <v>6</v>
      </c>
      <c r="C705" s="23" t="s">
        <v>288</v>
      </c>
      <c r="D705" s="23" t="s">
        <v>31</v>
      </c>
      <c r="E705" s="23" t="s">
        <v>48</v>
      </c>
      <c r="F705" s="23">
        <v>128.47999999999999</v>
      </c>
      <c r="G705" s="23">
        <f t="shared" si="18"/>
        <v>770.87999999999988</v>
      </c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</row>
    <row r="706" spans="1:22" ht="13.2">
      <c r="A706" s="42">
        <v>45884</v>
      </c>
      <c r="B706" s="23">
        <v>1</v>
      </c>
      <c r="C706" s="23" t="s">
        <v>254</v>
      </c>
      <c r="D706" s="23" t="s">
        <v>31</v>
      </c>
      <c r="E706" s="23" t="s">
        <v>289</v>
      </c>
      <c r="F706" s="23">
        <v>80</v>
      </c>
      <c r="G706" s="23">
        <f t="shared" si="18"/>
        <v>80</v>
      </c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</row>
    <row r="707" spans="1:22" ht="13.2">
      <c r="A707" s="42">
        <v>45884</v>
      </c>
      <c r="B707" s="23">
        <v>1</v>
      </c>
      <c r="C707" s="23" t="s">
        <v>193</v>
      </c>
      <c r="D707" s="23" t="s">
        <v>31</v>
      </c>
      <c r="E707" s="23" t="s">
        <v>50</v>
      </c>
      <c r="F707" s="23">
        <v>300</v>
      </c>
      <c r="G707" s="23">
        <f t="shared" si="18"/>
        <v>300</v>
      </c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</row>
    <row r="708" spans="1:22" ht="13.2">
      <c r="A708" s="42">
        <v>45884</v>
      </c>
      <c r="B708" s="23">
        <v>1</v>
      </c>
      <c r="C708" s="23" t="s">
        <v>193</v>
      </c>
      <c r="D708" s="23" t="s">
        <v>31</v>
      </c>
      <c r="E708" s="23" t="s">
        <v>51</v>
      </c>
      <c r="F708" s="23">
        <v>300</v>
      </c>
      <c r="G708" s="23">
        <f t="shared" si="18"/>
        <v>300</v>
      </c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</row>
    <row r="709" spans="1:22" ht="13.2">
      <c r="A709" s="42">
        <v>45884</v>
      </c>
      <c r="B709" s="23">
        <v>1</v>
      </c>
      <c r="C709" s="23" t="s">
        <v>193</v>
      </c>
      <c r="D709" s="23" t="s">
        <v>31</v>
      </c>
      <c r="E709" s="23" t="s">
        <v>52</v>
      </c>
      <c r="F709" s="23">
        <v>100</v>
      </c>
      <c r="G709" s="23">
        <f t="shared" si="18"/>
        <v>100</v>
      </c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</row>
    <row r="710" spans="1:22" ht="13.2">
      <c r="A710" s="42">
        <v>45884</v>
      </c>
      <c r="B710" s="23">
        <v>1</v>
      </c>
      <c r="C710" s="23" t="s">
        <v>193</v>
      </c>
      <c r="D710" s="23" t="s">
        <v>31</v>
      </c>
      <c r="E710" s="23" t="s">
        <v>53</v>
      </c>
      <c r="F710" s="23">
        <v>160</v>
      </c>
      <c r="G710" s="23">
        <f t="shared" si="18"/>
        <v>160</v>
      </c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</row>
    <row r="711" spans="1:22" ht="13.2">
      <c r="A711" s="42">
        <v>45884</v>
      </c>
      <c r="B711" s="23">
        <v>1</v>
      </c>
      <c r="C711" s="23" t="s">
        <v>193</v>
      </c>
      <c r="D711" s="23" t="s">
        <v>31</v>
      </c>
      <c r="E711" s="23" t="s">
        <v>54</v>
      </c>
      <c r="F711" s="23">
        <v>100</v>
      </c>
      <c r="G711" s="23">
        <f t="shared" si="18"/>
        <v>100</v>
      </c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</row>
    <row r="712" spans="1:22" ht="13.2">
      <c r="A712" s="42">
        <v>45884</v>
      </c>
      <c r="B712" s="23">
        <v>1</v>
      </c>
      <c r="C712" s="23" t="s">
        <v>25</v>
      </c>
      <c r="D712" s="23" t="s">
        <v>25</v>
      </c>
      <c r="E712" s="23" t="s">
        <v>231</v>
      </c>
      <c r="F712" s="23">
        <v>100</v>
      </c>
      <c r="G712" s="23">
        <f t="shared" si="18"/>
        <v>100</v>
      </c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</row>
    <row r="713" spans="1:22" ht="13.2">
      <c r="A713" s="42">
        <v>45884</v>
      </c>
      <c r="B713" s="23">
        <v>1</v>
      </c>
      <c r="C713" s="10" t="s">
        <v>60</v>
      </c>
      <c r="D713" s="10" t="s">
        <v>23</v>
      </c>
      <c r="E713" s="23" t="s">
        <v>165</v>
      </c>
      <c r="F713" s="10">
        <v>775</v>
      </c>
      <c r="G713" s="10">
        <f t="shared" si="18"/>
        <v>775</v>
      </c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</row>
    <row r="714" spans="1:22" ht="13.2">
      <c r="A714" s="42">
        <v>45884</v>
      </c>
      <c r="B714" s="23">
        <v>1</v>
      </c>
      <c r="C714" s="10" t="s">
        <v>60</v>
      </c>
      <c r="D714" s="10" t="s">
        <v>23</v>
      </c>
      <c r="E714" s="21" t="s">
        <v>160</v>
      </c>
      <c r="F714" s="10">
        <v>625</v>
      </c>
      <c r="G714" s="10">
        <f t="shared" si="18"/>
        <v>625</v>
      </c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</row>
    <row r="715" spans="1:22" ht="13.2">
      <c r="A715" s="42">
        <v>45884</v>
      </c>
      <c r="B715" s="23">
        <v>1</v>
      </c>
      <c r="C715" s="10" t="s">
        <v>60</v>
      </c>
      <c r="D715" s="10" t="s">
        <v>23</v>
      </c>
      <c r="E715" s="21" t="s">
        <v>355</v>
      </c>
      <c r="F715" s="10">
        <v>600</v>
      </c>
      <c r="G715" s="10">
        <f t="shared" si="18"/>
        <v>600</v>
      </c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</row>
    <row r="716" spans="1:22" ht="13.2">
      <c r="A716" s="42">
        <v>45884</v>
      </c>
      <c r="B716" s="23">
        <v>1</v>
      </c>
      <c r="C716" s="10" t="s">
        <v>60</v>
      </c>
      <c r="D716" s="10" t="s">
        <v>23</v>
      </c>
      <c r="E716" s="21" t="s">
        <v>356</v>
      </c>
      <c r="F716" s="10">
        <v>565</v>
      </c>
      <c r="G716" s="10">
        <f t="shared" si="18"/>
        <v>565</v>
      </c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</row>
    <row r="717" spans="1:22" ht="13.2">
      <c r="A717" s="42">
        <v>45885</v>
      </c>
      <c r="B717" s="21">
        <v>1</v>
      </c>
      <c r="C717" s="10" t="s">
        <v>362</v>
      </c>
      <c r="D717" s="10" t="s">
        <v>23</v>
      </c>
      <c r="E717" s="21" t="s">
        <v>383</v>
      </c>
      <c r="F717" s="10">
        <v>15.03</v>
      </c>
      <c r="G717" s="10">
        <f t="shared" si="18"/>
        <v>15.03</v>
      </c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</row>
    <row r="718" spans="1:22" ht="13.2">
      <c r="A718" s="42">
        <v>45885</v>
      </c>
      <c r="B718" s="21">
        <v>2</v>
      </c>
      <c r="C718" s="10" t="s">
        <v>283</v>
      </c>
      <c r="D718" s="10" t="s">
        <v>23</v>
      </c>
      <c r="E718" s="21" t="s">
        <v>384</v>
      </c>
      <c r="F718" s="10">
        <v>9</v>
      </c>
      <c r="G718" s="10">
        <f t="shared" si="18"/>
        <v>18</v>
      </c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</row>
    <row r="719" spans="1:22" ht="13.2">
      <c r="A719" s="42">
        <v>45885</v>
      </c>
      <c r="B719" s="21">
        <v>3</v>
      </c>
      <c r="C719" s="10" t="s">
        <v>252</v>
      </c>
      <c r="D719" s="10" t="s">
        <v>23</v>
      </c>
      <c r="E719" s="21" t="s">
        <v>385</v>
      </c>
      <c r="F719" s="10">
        <v>15</v>
      </c>
      <c r="G719" s="10">
        <f t="shared" si="18"/>
        <v>45</v>
      </c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</row>
    <row r="720" spans="1:22" ht="13.2">
      <c r="A720" s="42">
        <v>45885</v>
      </c>
      <c r="B720" s="21">
        <v>20</v>
      </c>
      <c r="C720" s="10" t="s">
        <v>33</v>
      </c>
      <c r="D720" s="10" t="s">
        <v>23</v>
      </c>
      <c r="E720" s="21" t="s">
        <v>264</v>
      </c>
      <c r="F720" s="10">
        <v>3.33</v>
      </c>
      <c r="G720" s="10">
        <f t="shared" si="18"/>
        <v>66.599999999999994</v>
      </c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</row>
    <row r="721" spans="1:22" ht="13.2">
      <c r="A721" s="42">
        <v>45885</v>
      </c>
      <c r="B721" s="21">
        <v>20</v>
      </c>
      <c r="C721" s="10" t="s">
        <v>33</v>
      </c>
      <c r="D721" s="10" t="s">
        <v>23</v>
      </c>
      <c r="E721" s="21" t="s">
        <v>386</v>
      </c>
      <c r="F721" s="10">
        <v>1.667</v>
      </c>
      <c r="G721" s="10">
        <f t="shared" si="18"/>
        <v>33.340000000000003</v>
      </c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</row>
    <row r="722" spans="1:22" ht="13.2">
      <c r="A722" s="42">
        <v>45885</v>
      </c>
      <c r="B722" s="21">
        <v>1</v>
      </c>
      <c r="C722" s="10" t="s">
        <v>362</v>
      </c>
      <c r="D722" s="10" t="s">
        <v>23</v>
      </c>
      <c r="E722" s="21" t="s">
        <v>387</v>
      </c>
      <c r="F722" s="10">
        <v>1.5</v>
      </c>
      <c r="G722" s="10">
        <f t="shared" si="18"/>
        <v>1.5</v>
      </c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</row>
    <row r="723" spans="1:22" ht="13.2">
      <c r="A723" s="42">
        <v>45885</v>
      </c>
      <c r="B723" s="21">
        <v>1</v>
      </c>
      <c r="C723" s="10" t="s">
        <v>205</v>
      </c>
      <c r="D723" s="10" t="s">
        <v>23</v>
      </c>
      <c r="E723" s="21" t="s">
        <v>342</v>
      </c>
      <c r="F723" s="10">
        <v>16</v>
      </c>
      <c r="G723" s="10">
        <f t="shared" si="18"/>
        <v>16</v>
      </c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</row>
    <row r="724" spans="1:22" ht="13.2">
      <c r="A724" s="42">
        <v>45886</v>
      </c>
      <c r="B724" s="21">
        <v>4</v>
      </c>
      <c r="C724" s="10" t="s">
        <v>31</v>
      </c>
      <c r="D724" s="10" t="s">
        <v>31</v>
      </c>
      <c r="E724" s="21" t="s">
        <v>7</v>
      </c>
      <c r="F724" s="10">
        <v>23</v>
      </c>
      <c r="G724" s="10">
        <f t="shared" si="18"/>
        <v>92</v>
      </c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</row>
    <row r="725" spans="1:22" ht="13.2">
      <c r="A725" s="42">
        <v>45887</v>
      </c>
      <c r="B725" s="21">
        <v>1</v>
      </c>
      <c r="C725" s="10" t="s">
        <v>31</v>
      </c>
      <c r="D725" s="10" t="s">
        <v>31</v>
      </c>
      <c r="E725" s="21" t="s">
        <v>388</v>
      </c>
      <c r="F725" s="10">
        <v>5</v>
      </c>
      <c r="G725" s="10">
        <f t="shared" si="18"/>
        <v>5</v>
      </c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</row>
    <row r="726" spans="1:22" ht="13.2">
      <c r="A726" s="42">
        <v>45887</v>
      </c>
      <c r="B726" s="21">
        <v>1</v>
      </c>
      <c r="C726" s="10" t="s">
        <v>60</v>
      </c>
      <c r="D726" s="10" t="s">
        <v>23</v>
      </c>
      <c r="E726" s="10" t="s">
        <v>330</v>
      </c>
      <c r="F726" s="10">
        <v>60</v>
      </c>
      <c r="G726" s="10">
        <f t="shared" si="18"/>
        <v>60</v>
      </c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</row>
    <row r="727" spans="1:22" ht="13.2">
      <c r="A727" s="42">
        <v>45887</v>
      </c>
      <c r="B727" s="21">
        <v>1</v>
      </c>
      <c r="C727" s="10" t="s">
        <v>60</v>
      </c>
      <c r="D727" s="10" t="s">
        <v>23</v>
      </c>
      <c r="E727" s="10" t="s">
        <v>330</v>
      </c>
      <c r="F727" s="10">
        <v>60</v>
      </c>
      <c r="G727" s="10">
        <f t="shared" si="18"/>
        <v>60</v>
      </c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</row>
    <row r="728" spans="1:22" ht="13.2">
      <c r="A728" s="42">
        <v>45887</v>
      </c>
      <c r="B728" s="21">
        <v>1</v>
      </c>
      <c r="C728" s="10" t="s">
        <v>31</v>
      </c>
      <c r="D728" s="10" t="s">
        <v>31</v>
      </c>
      <c r="E728" s="21" t="s">
        <v>389</v>
      </c>
      <c r="F728" s="10">
        <v>8.5</v>
      </c>
      <c r="G728" s="10">
        <f t="shared" si="18"/>
        <v>8.5</v>
      </c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</row>
    <row r="729" spans="1:22" ht="13.2">
      <c r="A729" s="42">
        <v>45888</v>
      </c>
      <c r="B729" s="21">
        <v>1</v>
      </c>
      <c r="C729" s="10" t="s">
        <v>31</v>
      </c>
      <c r="D729" s="10" t="s">
        <v>31</v>
      </c>
      <c r="E729" s="21" t="s">
        <v>390</v>
      </c>
      <c r="F729" s="10">
        <v>79.2</v>
      </c>
      <c r="G729" s="10">
        <f t="shared" si="18"/>
        <v>79.2</v>
      </c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</row>
    <row r="730" spans="1:22" ht="13.2">
      <c r="A730" s="42">
        <v>45888</v>
      </c>
      <c r="B730" s="21">
        <v>1</v>
      </c>
      <c r="C730" s="10" t="s">
        <v>31</v>
      </c>
      <c r="D730" s="10" t="s">
        <v>31</v>
      </c>
      <c r="E730" s="21" t="s">
        <v>391</v>
      </c>
      <c r="F730" s="10">
        <v>39.4</v>
      </c>
      <c r="G730" s="10">
        <f t="shared" si="18"/>
        <v>39.4</v>
      </c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</row>
    <row r="731" spans="1:22" ht="13.2">
      <c r="A731" s="42">
        <v>45890</v>
      </c>
      <c r="B731" s="21">
        <v>3</v>
      </c>
      <c r="C731" s="10" t="s">
        <v>252</v>
      </c>
      <c r="D731" s="10" t="s">
        <v>23</v>
      </c>
      <c r="E731" s="21" t="s">
        <v>392</v>
      </c>
      <c r="F731" s="10">
        <v>20</v>
      </c>
      <c r="G731" s="10">
        <f t="shared" si="18"/>
        <v>60</v>
      </c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</row>
    <row r="732" spans="1:22" ht="13.2">
      <c r="A732" s="42">
        <v>45890</v>
      </c>
      <c r="B732" s="21">
        <v>2</v>
      </c>
      <c r="C732" s="10" t="s">
        <v>33</v>
      </c>
      <c r="D732" s="10" t="s">
        <v>23</v>
      </c>
      <c r="E732" s="21" t="s">
        <v>393</v>
      </c>
      <c r="F732" s="10">
        <v>40</v>
      </c>
      <c r="G732" s="10">
        <f t="shared" si="18"/>
        <v>80</v>
      </c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</row>
    <row r="733" spans="1:22" ht="13.2">
      <c r="A733" s="42">
        <v>45890</v>
      </c>
      <c r="B733" s="21">
        <v>1</v>
      </c>
      <c r="C733" s="10" t="s">
        <v>252</v>
      </c>
      <c r="D733" s="10" t="s">
        <v>23</v>
      </c>
      <c r="E733" s="21" t="s">
        <v>394</v>
      </c>
      <c r="F733" s="10">
        <v>62</v>
      </c>
      <c r="G733" s="10">
        <f t="shared" si="18"/>
        <v>62</v>
      </c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</row>
    <row r="734" spans="1:22" ht="13.2">
      <c r="A734" s="42">
        <v>45890</v>
      </c>
      <c r="B734" s="21">
        <v>6</v>
      </c>
      <c r="C734" s="10" t="s">
        <v>35</v>
      </c>
      <c r="D734" s="10" t="s">
        <v>23</v>
      </c>
      <c r="E734" s="21" t="s">
        <v>395</v>
      </c>
      <c r="F734" s="10">
        <v>10</v>
      </c>
      <c r="G734" s="10">
        <f t="shared" si="18"/>
        <v>60</v>
      </c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</row>
    <row r="735" spans="1:22" ht="13.2">
      <c r="A735" s="42">
        <v>45890</v>
      </c>
      <c r="B735" s="21">
        <v>2</v>
      </c>
      <c r="C735" s="10" t="s">
        <v>252</v>
      </c>
      <c r="D735" s="10" t="s">
        <v>23</v>
      </c>
      <c r="E735" s="21" t="s">
        <v>396</v>
      </c>
      <c r="F735" s="10">
        <v>10.5</v>
      </c>
      <c r="G735" s="10">
        <f t="shared" si="18"/>
        <v>21</v>
      </c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</row>
    <row r="736" spans="1:22" ht="13.2">
      <c r="A736" s="42">
        <v>45890</v>
      </c>
      <c r="B736" s="21">
        <v>1</v>
      </c>
      <c r="C736" s="10" t="s">
        <v>22</v>
      </c>
      <c r="D736" s="10" t="s">
        <v>23</v>
      </c>
      <c r="E736" s="21" t="s">
        <v>337</v>
      </c>
      <c r="F736" s="10">
        <v>25</v>
      </c>
      <c r="G736" s="10">
        <f t="shared" si="18"/>
        <v>25</v>
      </c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</row>
    <row r="737" spans="1:22" ht="13.2">
      <c r="A737" s="42">
        <v>45890</v>
      </c>
      <c r="B737" s="21">
        <v>6</v>
      </c>
      <c r="C737" s="10" t="s">
        <v>252</v>
      </c>
      <c r="D737" s="10" t="s">
        <v>23</v>
      </c>
      <c r="E737" s="21" t="s">
        <v>275</v>
      </c>
      <c r="F737" s="10">
        <v>11</v>
      </c>
      <c r="G737" s="10">
        <f t="shared" si="18"/>
        <v>66</v>
      </c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</row>
    <row r="738" spans="1:22" ht="13.2">
      <c r="A738" s="42">
        <v>45890</v>
      </c>
      <c r="B738" s="21">
        <v>1</v>
      </c>
      <c r="C738" s="10" t="s">
        <v>253</v>
      </c>
      <c r="D738" s="10" t="s">
        <v>23</v>
      </c>
      <c r="E738" s="21" t="s">
        <v>384</v>
      </c>
      <c r="F738" s="10">
        <v>25</v>
      </c>
      <c r="G738" s="10">
        <f t="shared" si="18"/>
        <v>25</v>
      </c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</row>
    <row r="739" spans="1:22" ht="13.2">
      <c r="A739" s="42">
        <v>45890</v>
      </c>
      <c r="B739" s="21">
        <v>1</v>
      </c>
      <c r="C739" s="10" t="s">
        <v>252</v>
      </c>
      <c r="D739" s="10" t="s">
        <v>23</v>
      </c>
      <c r="E739" s="21" t="s">
        <v>397</v>
      </c>
      <c r="F739" s="10">
        <v>5</v>
      </c>
      <c r="G739" s="10">
        <f t="shared" si="18"/>
        <v>5</v>
      </c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</row>
    <row r="740" spans="1:22" ht="13.2">
      <c r="A740" s="42">
        <v>45890</v>
      </c>
      <c r="B740" s="21">
        <v>1</v>
      </c>
      <c r="C740" s="10" t="s">
        <v>205</v>
      </c>
      <c r="D740" s="10" t="s">
        <v>23</v>
      </c>
      <c r="E740" s="21" t="s">
        <v>279</v>
      </c>
      <c r="F740" s="10">
        <v>9</v>
      </c>
      <c r="G740" s="10">
        <f t="shared" si="18"/>
        <v>9</v>
      </c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</row>
    <row r="741" spans="1:22" ht="13.2">
      <c r="A741" s="42">
        <v>45890</v>
      </c>
      <c r="B741" s="10">
        <v>1</v>
      </c>
      <c r="C741" s="10" t="s">
        <v>362</v>
      </c>
      <c r="D741" s="10" t="s">
        <v>31</v>
      </c>
      <c r="E741" s="10" t="s">
        <v>398</v>
      </c>
      <c r="F741" s="10">
        <v>6</v>
      </c>
      <c r="G741" s="10">
        <f t="shared" si="18"/>
        <v>6</v>
      </c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</row>
    <row r="742" spans="1:22" ht="13.2">
      <c r="A742" s="42">
        <v>45890</v>
      </c>
      <c r="B742" s="10">
        <v>5</v>
      </c>
      <c r="C742" s="10" t="s">
        <v>362</v>
      </c>
      <c r="D742" s="10" t="s">
        <v>31</v>
      </c>
      <c r="E742" s="10" t="s">
        <v>398</v>
      </c>
      <c r="F742" s="10">
        <v>2</v>
      </c>
      <c r="G742" s="10">
        <f t="shared" si="18"/>
        <v>10</v>
      </c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</row>
    <row r="743" spans="1:22" ht="13.2">
      <c r="A743" s="42">
        <v>45890</v>
      </c>
      <c r="B743" s="10">
        <v>1</v>
      </c>
      <c r="C743" s="10" t="s">
        <v>40</v>
      </c>
      <c r="D743" s="10" t="s">
        <v>40</v>
      </c>
      <c r="E743" s="10" t="s">
        <v>399</v>
      </c>
      <c r="F743" s="10">
        <v>60</v>
      </c>
      <c r="G743" s="10">
        <f t="shared" si="18"/>
        <v>60</v>
      </c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</row>
    <row r="744" spans="1:22" ht="13.2">
      <c r="A744" s="42">
        <v>45890</v>
      </c>
      <c r="B744" s="10">
        <v>1</v>
      </c>
      <c r="C744" s="10" t="s">
        <v>362</v>
      </c>
      <c r="D744" s="10" t="s">
        <v>31</v>
      </c>
      <c r="E744" s="21" t="s">
        <v>400</v>
      </c>
      <c r="F744" s="10">
        <v>60</v>
      </c>
      <c r="G744" s="10">
        <f t="shared" si="18"/>
        <v>60</v>
      </c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</row>
    <row r="745" spans="1:22" ht="13.2">
      <c r="A745" s="42">
        <v>45891</v>
      </c>
      <c r="B745" s="10">
        <v>1</v>
      </c>
      <c r="C745" s="10" t="s">
        <v>344</v>
      </c>
      <c r="D745" s="10" t="s">
        <v>31</v>
      </c>
      <c r="E745" s="39" t="s">
        <v>295</v>
      </c>
      <c r="F745" s="10">
        <v>75</v>
      </c>
      <c r="G745" s="10">
        <f t="shared" si="18"/>
        <v>75</v>
      </c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</row>
    <row r="746" spans="1:22" ht="13.2">
      <c r="A746" s="42">
        <v>45891</v>
      </c>
      <c r="B746" s="10">
        <v>10</v>
      </c>
      <c r="C746" s="10" t="s">
        <v>33</v>
      </c>
      <c r="D746" s="10" t="s">
        <v>23</v>
      </c>
      <c r="E746" s="10" t="s">
        <v>327</v>
      </c>
      <c r="F746" s="10">
        <v>4</v>
      </c>
      <c r="G746" s="10">
        <f t="shared" si="18"/>
        <v>40</v>
      </c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</row>
    <row r="747" spans="1:22" ht="13.2">
      <c r="A747" s="42">
        <v>45891</v>
      </c>
      <c r="B747" s="10">
        <v>2</v>
      </c>
      <c r="C747" s="10" t="s">
        <v>33</v>
      </c>
      <c r="D747" s="10" t="s">
        <v>23</v>
      </c>
      <c r="E747" s="10" t="s">
        <v>303</v>
      </c>
      <c r="F747" s="10">
        <v>30</v>
      </c>
      <c r="G747" s="10">
        <f t="shared" si="18"/>
        <v>60</v>
      </c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</row>
    <row r="748" spans="1:22" ht="13.2">
      <c r="A748" s="42">
        <v>45891</v>
      </c>
      <c r="B748" s="10">
        <v>1</v>
      </c>
      <c r="C748" s="10" t="s">
        <v>33</v>
      </c>
      <c r="D748" s="10" t="s">
        <v>23</v>
      </c>
      <c r="E748" s="10" t="s">
        <v>303</v>
      </c>
      <c r="F748" s="10">
        <v>31</v>
      </c>
      <c r="G748" s="10">
        <f t="shared" si="18"/>
        <v>31</v>
      </c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</row>
    <row r="749" spans="1:22" ht="13.2">
      <c r="A749" s="42">
        <v>45891</v>
      </c>
      <c r="B749" s="10">
        <v>1</v>
      </c>
      <c r="C749" s="10" t="s">
        <v>60</v>
      </c>
      <c r="D749" s="10" t="s">
        <v>23</v>
      </c>
      <c r="E749" s="10" t="s">
        <v>303</v>
      </c>
      <c r="F749" s="10">
        <v>30</v>
      </c>
      <c r="G749" s="10">
        <f t="shared" si="18"/>
        <v>30</v>
      </c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</row>
    <row r="750" spans="1:22" ht="13.2">
      <c r="A750" s="42">
        <v>45891</v>
      </c>
      <c r="B750" s="10">
        <v>1</v>
      </c>
      <c r="C750" s="10" t="s">
        <v>344</v>
      </c>
      <c r="D750" s="10" t="s">
        <v>294</v>
      </c>
      <c r="E750" s="10" t="s">
        <v>401</v>
      </c>
      <c r="F750" s="10">
        <v>75</v>
      </c>
      <c r="G750" s="10">
        <f t="shared" si="18"/>
        <v>75</v>
      </c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</row>
    <row r="751" spans="1:22" ht="13.2">
      <c r="A751" s="42">
        <v>45891</v>
      </c>
      <c r="B751" s="10">
        <v>1</v>
      </c>
      <c r="C751" s="10" t="s">
        <v>31</v>
      </c>
      <c r="D751" s="10" t="s">
        <v>23</v>
      </c>
      <c r="E751" s="10" t="s">
        <v>402</v>
      </c>
      <c r="F751" s="10">
        <v>75</v>
      </c>
      <c r="G751" s="10">
        <f t="shared" si="18"/>
        <v>75</v>
      </c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</row>
    <row r="752" spans="1:22" ht="13.2">
      <c r="A752" s="42">
        <v>45894</v>
      </c>
      <c r="B752" s="10">
        <v>1</v>
      </c>
      <c r="C752" s="10" t="s">
        <v>40</v>
      </c>
      <c r="D752" s="10" t="s">
        <v>40</v>
      </c>
      <c r="E752" s="10" t="s">
        <v>399</v>
      </c>
      <c r="F752" s="10">
        <v>690</v>
      </c>
      <c r="G752" s="10">
        <f t="shared" si="18"/>
        <v>690</v>
      </c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</row>
    <row r="753" spans="1:22" ht="13.2">
      <c r="A753" s="42">
        <v>45894</v>
      </c>
      <c r="B753" s="10">
        <v>1</v>
      </c>
      <c r="C753" s="10" t="s">
        <v>40</v>
      </c>
      <c r="D753" s="10" t="s">
        <v>40</v>
      </c>
      <c r="E753" s="10" t="s">
        <v>173</v>
      </c>
      <c r="F753" s="10">
        <v>1170</v>
      </c>
      <c r="G753" s="10">
        <f t="shared" si="18"/>
        <v>1170</v>
      </c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</row>
    <row r="754" spans="1:22" ht="13.2">
      <c r="A754" s="42">
        <v>45894</v>
      </c>
      <c r="B754" s="10">
        <v>1</v>
      </c>
      <c r="C754" s="10" t="s">
        <v>31</v>
      </c>
      <c r="D754" s="10" t="s">
        <v>56</v>
      </c>
      <c r="E754" s="10" t="s">
        <v>403</v>
      </c>
      <c r="F754" s="10">
        <v>80</v>
      </c>
      <c r="G754" s="10">
        <f t="shared" si="18"/>
        <v>80</v>
      </c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</row>
    <row r="755" spans="1:22" ht="13.2">
      <c r="A755" s="42">
        <v>45894</v>
      </c>
      <c r="B755" s="10">
        <v>1</v>
      </c>
      <c r="C755" s="10" t="s">
        <v>31</v>
      </c>
      <c r="D755" s="10" t="s">
        <v>56</v>
      </c>
      <c r="E755" s="10" t="s">
        <v>404</v>
      </c>
      <c r="F755" s="10">
        <v>8.5</v>
      </c>
      <c r="G755" s="10">
        <f t="shared" si="18"/>
        <v>8.5</v>
      </c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</row>
    <row r="756" spans="1:22" ht="13.2">
      <c r="A756" s="42">
        <v>45896</v>
      </c>
      <c r="B756" s="10">
        <v>1</v>
      </c>
      <c r="C756" s="10" t="s">
        <v>252</v>
      </c>
      <c r="D756" s="10" t="s">
        <v>23</v>
      </c>
      <c r="E756" s="21" t="s">
        <v>400</v>
      </c>
      <c r="F756" s="10">
        <v>60</v>
      </c>
      <c r="G756" s="10">
        <f t="shared" si="18"/>
        <v>60</v>
      </c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</row>
    <row r="757" spans="1:22" ht="13.2">
      <c r="A757" s="42">
        <v>45896</v>
      </c>
      <c r="B757" s="10">
        <v>1</v>
      </c>
      <c r="C757" s="10" t="s">
        <v>252</v>
      </c>
      <c r="D757" s="10" t="s">
        <v>23</v>
      </c>
      <c r="E757" s="21" t="s">
        <v>405</v>
      </c>
      <c r="F757" s="10">
        <v>75</v>
      </c>
      <c r="G757" s="10">
        <f t="shared" si="18"/>
        <v>75</v>
      </c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</row>
    <row r="758" spans="1:22" ht="13.2">
      <c r="A758" s="42">
        <v>45896</v>
      </c>
      <c r="B758" s="10">
        <v>1</v>
      </c>
      <c r="C758" s="10" t="s">
        <v>252</v>
      </c>
      <c r="D758" s="10" t="s">
        <v>23</v>
      </c>
      <c r="E758" s="21" t="s">
        <v>406</v>
      </c>
      <c r="F758" s="10">
        <v>60</v>
      </c>
      <c r="G758" s="10">
        <f t="shared" si="18"/>
        <v>60</v>
      </c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</row>
    <row r="759" spans="1:22" ht="13.2">
      <c r="A759" s="42">
        <v>45896</v>
      </c>
      <c r="B759" s="10">
        <v>1</v>
      </c>
      <c r="C759" s="10" t="s">
        <v>252</v>
      </c>
      <c r="D759" s="10" t="s">
        <v>23</v>
      </c>
      <c r="E759" s="10" t="s">
        <v>407</v>
      </c>
      <c r="F759" s="10">
        <v>45</v>
      </c>
      <c r="G759" s="10">
        <f t="shared" si="18"/>
        <v>45</v>
      </c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</row>
    <row r="760" spans="1:22" ht="13.2">
      <c r="A760" s="42">
        <v>45897</v>
      </c>
      <c r="B760" s="10">
        <v>1</v>
      </c>
      <c r="C760" s="10" t="s">
        <v>344</v>
      </c>
      <c r="D760" s="10" t="s">
        <v>294</v>
      </c>
      <c r="E760" s="10" t="s">
        <v>401</v>
      </c>
      <c r="F760" s="10">
        <v>140</v>
      </c>
      <c r="G760" s="10">
        <f t="shared" si="18"/>
        <v>140</v>
      </c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</row>
    <row r="761" spans="1:22" ht="13.2">
      <c r="A761" s="42">
        <v>45897</v>
      </c>
      <c r="B761" s="21">
        <v>1</v>
      </c>
      <c r="C761" s="10" t="s">
        <v>25</v>
      </c>
      <c r="D761" s="10" t="s">
        <v>25</v>
      </c>
      <c r="E761" s="21"/>
      <c r="F761" s="10">
        <v>170</v>
      </c>
      <c r="G761" s="10">
        <f t="shared" si="18"/>
        <v>170</v>
      </c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</row>
    <row r="762" spans="1:22" ht="13.2">
      <c r="A762" s="42">
        <v>45897</v>
      </c>
      <c r="B762" s="10">
        <v>1</v>
      </c>
      <c r="C762" s="10" t="s">
        <v>31</v>
      </c>
      <c r="D762" s="10" t="s">
        <v>31</v>
      </c>
      <c r="E762" s="21" t="s">
        <v>408</v>
      </c>
      <c r="F762" s="10">
        <v>51</v>
      </c>
      <c r="G762" s="10">
        <f t="shared" si="18"/>
        <v>51</v>
      </c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</row>
    <row r="763" spans="1:22" ht="13.2">
      <c r="A763" s="42">
        <v>45898</v>
      </c>
      <c r="B763" s="10">
        <v>1</v>
      </c>
      <c r="C763" s="10" t="s">
        <v>123</v>
      </c>
      <c r="D763" s="10" t="s">
        <v>23</v>
      </c>
      <c r="E763" s="21" t="s">
        <v>409</v>
      </c>
      <c r="F763" s="10" t="e">
        <f>TAXIS_2025!#REF!</f>
        <v>#REF!</v>
      </c>
      <c r="G763" s="10" t="e">
        <f t="shared" si="18"/>
        <v>#REF!</v>
      </c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</row>
    <row r="764" spans="1:22" ht="13.2">
      <c r="A764" s="42">
        <v>45898</v>
      </c>
      <c r="B764" s="10">
        <v>1</v>
      </c>
      <c r="C764" s="10" t="s">
        <v>60</v>
      </c>
      <c r="D764" s="10" t="s">
        <v>23</v>
      </c>
      <c r="E764" s="23" t="s">
        <v>165</v>
      </c>
      <c r="F764" s="10">
        <v>623.91999999999996</v>
      </c>
      <c r="G764" s="10">
        <f t="shared" si="18"/>
        <v>623.91999999999996</v>
      </c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</row>
    <row r="765" spans="1:22" ht="13.2">
      <c r="A765" s="42">
        <v>45898</v>
      </c>
      <c r="B765" s="10">
        <v>1</v>
      </c>
      <c r="C765" s="10" t="s">
        <v>60</v>
      </c>
      <c r="D765" s="10" t="s">
        <v>23</v>
      </c>
      <c r="E765" s="21" t="s">
        <v>160</v>
      </c>
      <c r="F765" s="10">
        <v>491.31</v>
      </c>
      <c r="G765" s="10">
        <f t="shared" si="18"/>
        <v>491.31</v>
      </c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</row>
    <row r="766" spans="1:22" ht="13.2">
      <c r="A766" s="42">
        <v>45898</v>
      </c>
      <c r="B766" s="10">
        <v>1</v>
      </c>
      <c r="C766" s="10" t="s">
        <v>60</v>
      </c>
      <c r="D766" s="10" t="s">
        <v>23</v>
      </c>
      <c r="E766" s="21" t="s">
        <v>355</v>
      </c>
      <c r="F766" s="2">
        <v>582.5</v>
      </c>
      <c r="G766" s="10">
        <f t="shared" si="18"/>
        <v>582.5</v>
      </c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</row>
    <row r="767" spans="1:22" ht="13.2">
      <c r="A767" s="42">
        <v>45898</v>
      </c>
      <c r="B767" s="10">
        <v>1</v>
      </c>
      <c r="C767" s="10" t="s">
        <v>60</v>
      </c>
      <c r="D767" s="10" t="s">
        <v>23</v>
      </c>
      <c r="E767" s="21" t="s">
        <v>356</v>
      </c>
      <c r="F767" s="2">
        <v>541.46</v>
      </c>
      <c r="G767" s="10">
        <f t="shared" si="18"/>
        <v>541.46</v>
      </c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</row>
    <row r="768" spans="1:22" ht="13.2">
      <c r="A768" s="42">
        <v>45898</v>
      </c>
      <c r="B768" s="21">
        <v>1</v>
      </c>
      <c r="C768" s="10" t="s">
        <v>55</v>
      </c>
      <c r="D768" s="10" t="s">
        <v>31</v>
      </c>
      <c r="E768" s="21" t="s">
        <v>196</v>
      </c>
      <c r="F768" s="10">
        <v>1290.27</v>
      </c>
      <c r="G768" s="10">
        <f t="shared" si="18"/>
        <v>1290.27</v>
      </c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</row>
    <row r="769" spans="1:22" ht="13.2">
      <c r="A769" s="42">
        <v>45898</v>
      </c>
      <c r="B769" s="21">
        <v>1</v>
      </c>
      <c r="C769" s="10" t="s">
        <v>55</v>
      </c>
      <c r="D769" s="10" t="s">
        <v>31</v>
      </c>
      <c r="E769" s="21" t="s">
        <v>202</v>
      </c>
      <c r="F769" s="10">
        <v>1694.02</v>
      </c>
      <c r="G769" s="10">
        <f t="shared" si="18"/>
        <v>1694.02</v>
      </c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</row>
    <row r="770" spans="1:22" ht="13.2">
      <c r="A770" s="42">
        <v>45898</v>
      </c>
      <c r="B770" s="21">
        <v>1</v>
      </c>
      <c r="C770" s="10" t="s">
        <v>55</v>
      </c>
      <c r="D770" s="10" t="s">
        <v>31</v>
      </c>
      <c r="E770" s="21" t="s">
        <v>197</v>
      </c>
      <c r="F770" s="10">
        <v>1103.29</v>
      </c>
      <c r="G770" s="10">
        <f t="shared" si="18"/>
        <v>1103.29</v>
      </c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</row>
    <row r="771" spans="1:22" ht="13.2">
      <c r="A771" s="42">
        <v>45898</v>
      </c>
      <c r="B771" s="21">
        <v>1</v>
      </c>
      <c r="C771" s="10" t="s">
        <v>79</v>
      </c>
      <c r="D771" s="10" t="s">
        <v>31</v>
      </c>
      <c r="E771" s="21" t="s">
        <v>410</v>
      </c>
      <c r="F771" s="10">
        <v>1115.44</v>
      </c>
      <c r="G771" s="10">
        <f t="shared" si="18"/>
        <v>1115.44</v>
      </c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</row>
    <row r="772" spans="1:22" ht="13.2">
      <c r="A772" s="42">
        <v>45898</v>
      </c>
      <c r="B772" s="21">
        <v>1</v>
      </c>
      <c r="C772" s="10" t="s">
        <v>79</v>
      </c>
      <c r="D772" s="10" t="s">
        <v>31</v>
      </c>
      <c r="E772" s="21" t="s">
        <v>250</v>
      </c>
      <c r="F772" s="10">
        <v>1900.4</v>
      </c>
      <c r="G772" s="10">
        <f t="shared" si="18"/>
        <v>1900.4</v>
      </c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</row>
    <row r="773" spans="1:22" ht="13.2">
      <c r="A773" s="42">
        <v>45898</v>
      </c>
      <c r="B773" s="21">
        <v>1</v>
      </c>
      <c r="C773" s="10" t="s">
        <v>79</v>
      </c>
      <c r="D773" s="10" t="s">
        <v>31</v>
      </c>
      <c r="E773" s="21" t="s">
        <v>357</v>
      </c>
      <c r="F773" s="10">
        <v>1758.23</v>
      </c>
      <c r="G773" s="10">
        <f t="shared" si="18"/>
        <v>1758.23</v>
      </c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</row>
    <row r="774" spans="1:22" ht="13.2">
      <c r="A774" s="42">
        <v>45898</v>
      </c>
      <c r="B774" s="21">
        <v>1</v>
      </c>
      <c r="C774" s="10" t="s">
        <v>79</v>
      </c>
      <c r="D774" s="10" t="s">
        <v>31</v>
      </c>
      <c r="E774" s="21" t="s">
        <v>359</v>
      </c>
      <c r="F774" s="10">
        <v>2236.38</v>
      </c>
      <c r="G774" s="10">
        <f t="shared" si="18"/>
        <v>2236.38</v>
      </c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</row>
    <row r="775" spans="1:22" ht="13.2">
      <c r="A775" s="42">
        <v>45898</v>
      </c>
      <c r="B775" s="21">
        <v>1</v>
      </c>
      <c r="C775" s="10" t="s">
        <v>31</v>
      </c>
      <c r="D775" s="10" t="s">
        <v>31</v>
      </c>
      <c r="E775" s="21" t="s">
        <v>411</v>
      </c>
      <c r="F775" s="10">
        <v>87.44</v>
      </c>
      <c r="G775" s="10">
        <f t="shared" si="18"/>
        <v>87.44</v>
      </c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</row>
    <row r="776" spans="1:22" ht="13.2">
      <c r="A776" s="42">
        <v>45898</v>
      </c>
      <c r="B776" s="10">
        <v>1</v>
      </c>
      <c r="C776" s="10" t="s">
        <v>252</v>
      </c>
      <c r="D776" s="10" t="s">
        <v>23</v>
      </c>
      <c r="E776" s="21" t="s">
        <v>406</v>
      </c>
      <c r="F776" s="10">
        <v>60</v>
      </c>
      <c r="G776" s="10">
        <f t="shared" si="18"/>
        <v>60</v>
      </c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</row>
    <row r="777" spans="1:22" ht="13.2">
      <c r="A777" s="42">
        <v>45900</v>
      </c>
      <c r="B777" s="21">
        <v>1</v>
      </c>
      <c r="C777" s="10" t="s">
        <v>22</v>
      </c>
      <c r="D777" s="10" t="s">
        <v>23</v>
      </c>
      <c r="E777" s="21" t="s">
        <v>412</v>
      </c>
      <c r="F777" s="10">
        <v>233.22</v>
      </c>
      <c r="G777" s="10">
        <f t="shared" ref="G777:G786" si="19">F777*B777+(F777*B777*0.4)</f>
        <v>326.50800000000004</v>
      </c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</row>
    <row r="778" spans="1:22" ht="13.2">
      <c r="A778" s="42">
        <v>45900</v>
      </c>
      <c r="B778" s="21">
        <v>1</v>
      </c>
      <c r="C778" s="10" t="s">
        <v>253</v>
      </c>
      <c r="D778" s="10" t="s">
        <v>23</v>
      </c>
      <c r="E778" s="21" t="s">
        <v>412</v>
      </c>
      <c r="F778" s="10">
        <f t="shared" ref="F778:F779" si="20">233.22/2</f>
        <v>116.61</v>
      </c>
      <c r="G778" s="10">
        <f t="shared" si="19"/>
        <v>163.25400000000002</v>
      </c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</row>
    <row r="779" spans="1:22" ht="13.2">
      <c r="A779" s="42">
        <v>45900</v>
      </c>
      <c r="B779" s="21">
        <v>1</v>
      </c>
      <c r="C779" s="10" t="s">
        <v>283</v>
      </c>
      <c r="D779" s="10" t="s">
        <v>23</v>
      </c>
      <c r="E779" s="21" t="s">
        <v>412</v>
      </c>
      <c r="F779" s="10">
        <f t="shared" si="20"/>
        <v>116.61</v>
      </c>
      <c r="G779" s="10">
        <f t="shared" si="19"/>
        <v>163.25400000000002</v>
      </c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</row>
    <row r="780" spans="1:22" ht="13.2">
      <c r="A780" s="42">
        <v>45900</v>
      </c>
      <c r="B780" s="21">
        <v>1</v>
      </c>
      <c r="C780" s="10" t="s">
        <v>252</v>
      </c>
      <c r="D780" s="10" t="s">
        <v>23</v>
      </c>
      <c r="E780" s="21" t="s">
        <v>412</v>
      </c>
      <c r="F780" s="10">
        <v>1299.75</v>
      </c>
      <c r="G780" s="10">
        <f t="shared" si="19"/>
        <v>1819.65</v>
      </c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</row>
    <row r="781" spans="1:22" ht="13.2">
      <c r="A781" s="42">
        <v>45900</v>
      </c>
      <c r="B781" s="21">
        <v>1</v>
      </c>
      <c r="C781" s="10" t="s">
        <v>33</v>
      </c>
      <c r="D781" s="10" t="s">
        <v>23</v>
      </c>
      <c r="E781" s="21" t="s">
        <v>412</v>
      </c>
      <c r="F781" s="10">
        <v>180.41</v>
      </c>
      <c r="G781" s="10">
        <f t="shared" si="19"/>
        <v>252.57400000000001</v>
      </c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</row>
    <row r="782" spans="1:22" ht="13.2">
      <c r="A782" s="42">
        <v>45900</v>
      </c>
      <c r="B782" s="21">
        <v>1</v>
      </c>
      <c r="C782" s="10" t="s">
        <v>205</v>
      </c>
      <c r="D782" s="10" t="s">
        <v>23</v>
      </c>
      <c r="E782" s="21" t="s">
        <v>412</v>
      </c>
      <c r="F782" s="10">
        <f t="shared" ref="F782:F784" si="21">581.13/3</f>
        <v>193.71</v>
      </c>
      <c r="G782" s="10">
        <f t="shared" si="19"/>
        <v>271.19400000000002</v>
      </c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</row>
    <row r="783" spans="1:22" ht="13.2">
      <c r="A783" s="42">
        <v>45900</v>
      </c>
      <c r="B783" s="21">
        <v>1</v>
      </c>
      <c r="C783" s="10" t="s">
        <v>35</v>
      </c>
      <c r="D783" s="10" t="s">
        <v>23</v>
      </c>
      <c r="E783" s="21" t="s">
        <v>412</v>
      </c>
      <c r="F783" s="10">
        <f t="shared" si="21"/>
        <v>193.71</v>
      </c>
      <c r="G783" s="10">
        <f t="shared" si="19"/>
        <v>271.19400000000002</v>
      </c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</row>
    <row r="784" spans="1:22" ht="13.2">
      <c r="A784" s="42">
        <v>45900</v>
      </c>
      <c r="B784" s="21">
        <v>1</v>
      </c>
      <c r="C784" s="10" t="s">
        <v>284</v>
      </c>
      <c r="D784" s="10" t="s">
        <v>23</v>
      </c>
      <c r="E784" s="21" t="s">
        <v>412</v>
      </c>
      <c r="F784" s="10">
        <f t="shared" si="21"/>
        <v>193.71</v>
      </c>
      <c r="G784" s="10">
        <f t="shared" si="19"/>
        <v>271.19400000000002</v>
      </c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</row>
    <row r="785" spans="1:22" ht="13.2">
      <c r="A785" s="42">
        <v>45900</v>
      </c>
      <c r="B785" s="21">
        <v>1</v>
      </c>
      <c r="C785" s="10" t="s">
        <v>56</v>
      </c>
      <c r="D785" s="10" t="s">
        <v>56</v>
      </c>
      <c r="E785" s="21" t="s">
        <v>413</v>
      </c>
      <c r="F785" s="10">
        <v>366.61</v>
      </c>
      <c r="G785" s="10">
        <f t="shared" si="19"/>
        <v>513.25400000000002</v>
      </c>
      <c r="H785" s="2"/>
      <c r="I785" s="27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</row>
    <row r="786" spans="1:22" ht="13.2">
      <c r="A786" s="42">
        <v>45900</v>
      </c>
      <c r="B786" s="21">
        <v>1</v>
      </c>
      <c r="C786" s="10" t="s">
        <v>40</v>
      </c>
      <c r="D786" s="10" t="s">
        <v>40</v>
      </c>
      <c r="E786" s="21" t="s">
        <v>414</v>
      </c>
      <c r="F786" s="10">
        <f>122.18+1028.14</f>
        <v>1150.3200000000002</v>
      </c>
      <c r="G786" s="10">
        <f t="shared" si="19"/>
        <v>1610.4480000000003</v>
      </c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</row>
    <row r="787" spans="1:22" ht="13.2">
      <c r="A787" s="42">
        <v>45901</v>
      </c>
      <c r="B787" s="10">
        <v>1</v>
      </c>
      <c r="C787" s="10" t="s">
        <v>31</v>
      </c>
      <c r="D787" s="10" t="s">
        <v>31</v>
      </c>
      <c r="E787" s="10" t="s">
        <v>415</v>
      </c>
      <c r="F787" s="10">
        <v>39.799999999999997</v>
      </c>
      <c r="G787" s="10">
        <f t="shared" ref="G787:G830" si="22">F787*B787</f>
        <v>39.799999999999997</v>
      </c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</row>
    <row r="788" spans="1:22" ht="13.2">
      <c r="A788" s="42">
        <v>45901</v>
      </c>
      <c r="B788" s="10">
        <v>1</v>
      </c>
      <c r="C788" s="10" t="s">
        <v>252</v>
      </c>
      <c r="D788" s="10" t="s">
        <v>23</v>
      </c>
      <c r="E788" s="10" t="s">
        <v>416</v>
      </c>
      <c r="F788" s="10">
        <f>8.2+6.1</f>
        <v>14.299999999999999</v>
      </c>
      <c r="G788" s="10">
        <f t="shared" si="22"/>
        <v>14.299999999999999</v>
      </c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</row>
    <row r="789" spans="1:22" ht="13.2">
      <c r="A789" s="42">
        <v>45902</v>
      </c>
      <c r="B789" s="10">
        <v>1</v>
      </c>
      <c r="C789" s="10" t="s">
        <v>252</v>
      </c>
      <c r="D789" s="10" t="s">
        <v>23</v>
      </c>
      <c r="E789" s="10" t="s">
        <v>417</v>
      </c>
      <c r="F789" s="10">
        <v>6.5</v>
      </c>
      <c r="G789" s="10">
        <f t="shared" si="22"/>
        <v>6.5</v>
      </c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</row>
    <row r="790" spans="1:22" ht="13.2">
      <c r="A790" s="42">
        <v>45903</v>
      </c>
      <c r="B790" s="10">
        <v>25</v>
      </c>
      <c r="C790" s="10" t="s">
        <v>33</v>
      </c>
      <c r="D790" s="10" t="s">
        <v>23</v>
      </c>
      <c r="E790" s="10" t="s">
        <v>417</v>
      </c>
      <c r="F790" s="10">
        <v>20</v>
      </c>
      <c r="G790" s="10">
        <f t="shared" si="22"/>
        <v>500</v>
      </c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</row>
    <row r="791" spans="1:22" ht="13.2">
      <c r="A791" s="42">
        <v>45903</v>
      </c>
      <c r="B791" s="10">
        <v>1</v>
      </c>
      <c r="C791" s="10" t="s">
        <v>33</v>
      </c>
      <c r="D791" s="10" t="s">
        <v>23</v>
      </c>
      <c r="E791" s="10" t="s">
        <v>418</v>
      </c>
      <c r="F791" s="10">
        <v>210</v>
      </c>
      <c r="G791" s="10">
        <f t="shared" si="22"/>
        <v>210</v>
      </c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</row>
    <row r="792" spans="1:22" ht="13.2">
      <c r="A792" s="42">
        <v>45905</v>
      </c>
      <c r="B792" s="10">
        <v>1</v>
      </c>
      <c r="C792" s="10" t="s">
        <v>253</v>
      </c>
      <c r="D792" s="10" t="s">
        <v>23</v>
      </c>
      <c r="E792" s="10" t="s">
        <v>418</v>
      </c>
      <c r="F792" s="10">
        <v>750</v>
      </c>
      <c r="G792" s="10">
        <f t="shared" si="22"/>
        <v>750</v>
      </c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</row>
    <row r="793" spans="1:22" ht="13.2">
      <c r="A793" s="42">
        <v>45903</v>
      </c>
      <c r="B793" s="10">
        <v>1</v>
      </c>
      <c r="C793" s="10" t="s">
        <v>33</v>
      </c>
      <c r="D793" s="10" t="s">
        <v>23</v>
      </c>
      <c r="E793" s="10" t="s">
        <v>13</v>
      </c>
      <c r="F793" s="10">
        <v>9.1</v>
      </c>
      <c r="G793" s="10">
        <f t="shared" si="22"/>
        <v>9.1</v>
      </c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</row>
    <row r="794" spans="1:22" ht="13.2">
      <c r="A794" s="42">
        <v>45903</v>
      </c>
      <c r="B794" s="10">
        <v>3</v>
      </c>
      <c r="C794" s="10" t="s">
        <v>33</v>
      </c>
      <c r="D794" s="10" t="s">
        <v>23</v>
      </c>
      <c r="E794" s="10" t="s">
        <v>419</v>
      </c>
      <c r="F794" s="10">
        <v>11.5</v>
      </c>
      <c r="G794" s="10">
        <f t="shared" si="22"/>
        <v>34.5</v>
      </c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</row>
    <row r="795" spans="1:22" ht="13.2">
      <c r="A795" s="42">
        <v>45903</v>
      </c>
      <c r="B795" s="10">
        <v>2</v>
      </c>
      <c r="C795" s="10" t="s">
        <v>33</v>
      </c>
      <c r="D795" s="10" t="s">
        <v>23</v>
      </c>
      <c r="E795" s="10" t="s">
        <v>420</v>
      </c>
      <c r="F795" s="10">
        <v>6.5</v>
      </c>
      <c r="G795" s="10">
        <f t="shared" si="22"/>
        <v>13</v>
      </c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</row>
    <row r="796" spans="1:22" ht="13.2">
      <c r="A796" s="42">
        <v>45903</v>
      </c>
      <c r="B796" s="10">
        <v>1</v>
      </c>
      <c r="C796" s="10" t="s">
        <v>33</v>
      </c>
      <c r="D796" s="10" t="s">
        <v>23</v>
      </c>
      <c r="E796" s="10" t="s">
        <v>421</v>
      </c>
      <c r="F796" s="10">
        <f>51+9.9</f>
        <v>60.9</v>
      </c>
      <c r="G796" s="10">
        <f t="shared" si="22"/>
        <v>60.9</v>
      </c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</row>
    <row r="797" spans="1:22" ht="13.2">
      <c r="A797" s="42">
        <v>45904</v>
      </c>
      <c r="B797" s="10">
        <v>2</v>
      </c>
      <c r="C797" s="10" t="s">
        <v>253</v>
      </c>
      <c r="D797" s="10" t="s">
        <v>23</v>
      </c>
      <c r="E797" s="10" t="s">
        <v>422</v>
      </c>
      <c r="F797" s="10">
        <v>10</v>
      </c>
      <c r="G797" s="10">
        <f t="shared" si="22"/>
        <v>20</v>
      </c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</row>
    <row r="798" spans="1:22" ht="13.2">
      <c r="A798" s="42">
        <v>45904</v>
      </c>
      <c r="B798" s="10">
        <v>4</v>
      </c>
      <c r="C798" s="10" t="s">
        <v>253</v>
      </c>
      <c r="D798" s="10" t="s">
        <v>23</v>
      </c>
      <c r="E798" s="10" t="s">
        <v>423</v>
      </c>
      <c r="F798" s="10">
        <v>17</v>
      </c>
      <c r="G798" s="10">
        <f t="shared" si="22"/>
        <v>68</v>
      </c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</row>
    <row r="799" spans="1:22" ht="13.2">
      <c r="A799" s="42">
        <v>45904</v>
      </c>
      <c r="B799" s="10">
        <v>3</v>
      </c>
      <c r="C799" s="10" t="s">
        <v>253</v>
      </c>
      <c r="D799" s="10" t="s">
        <v>23</v>
      </c>
      <c r="E799" s="10" t="s">
        <v>337</v>
      </c>
      <c r="F799" s="10">
        <v>25</v>
      </c>
      <c r="G799" s="10">
        <f t="shared" si="22"/>
        <v>75</v>
      </c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</row>
    <row r="800" spans="1:22" ht="13.2">
      <c r="A800" s="42">
        <v>45904</v>
      </c>
      <c r="B800" s="10">
        <v>1</v>
      </c>
      <c r="C800" s="10" t="s">
        <v>253</v>
      </c>
      <c r="D800" s="10" t="s">
        <v>23</v>
      </c>
      <c r="E800" s="10" t="s">
        <v>384</v>
      </c>
      <c r="F800" s="10">
        <v>14</v>
      </c>
      <c r="G800" s="10">
        <f t="shared" si="22"/>
        <v>14</v>
      </c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</row>
    <row r="801" spans="1:22" ht="13.2">
      <c r="A801" s="42">
        <v>45904</v>
      </c>
      <c r="B801" s="10">
        <v>1</v>
      </c>
      <c r="C801" s="10" t="s">
        <v>253</v>
      </c>
      <c r="D801" s="10" t="s">
        <v>23</v>
      </c>
      <c r="E801" s="10" t="s">
        <v>384</v>
      </c>
      <c r="F801" s="10">
        <v>25</v>
      </c>
      <c r="G801" s="10">
        <f t="shared" si="22"/>
        <v>25</v>
      </c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</row>
    <row r="802" spans="1:22" ht="13.2">
      <c r="A802" s="42">
        <v>45904</v>
      </c>
      <c r="B802" s="10">
        <v>1</v>
      </c>
      <c r="C802" s="10" t="s">
        <v>253</v>
      </c>
      <c r="D802" s="10" t="s">
        <v>23</v>
      </c>
      <c r="E802" s="10" t="s">
        <v>424</v>
      </c>
      <c r="F802" s="10">
        <v>7</v>
      </c>
      <c r="G802" s="10">
        <f t="shared" si="22"/>
        <v>7</v>
      </c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</row>
    <row r="803" spans="1:22" ht="13.2">
      <c r="A803" s="42">
        <v>45904</v>
      </c>
      <c r="B803" s="10">
        <v>5</v>
      </c>
      <c r="C803" s="10" t="s">
        <v>253</v>
      </c>
      <c r="D803" s="10" t="s">
        <v>23</v>
      </c>
      <c r="E803" s="10" t="s">
        <v>425</v>
      </c>
      <c r="F803" s="10">
        <v>10</v>
      </c>
      <c r="G803" s="10">
        <f t="shared" si="22"/>
        <v>50</v>
      </c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</row>
    <row r="804" spans="1:22" ht="13.2">
      <c r="A804" s="42">
        <v>45904</v>
      </c>
      <c r="B804" s="10">
        <v>2</v>
      </c>
      <c r="C804" s="10" t="s">
        <v>253</v>
      </c>
      <c r="D804" s="10" t="s">
        <v>23</v>
      </c>
      <c r="E804" s="10" t="s">
        <v>426</v>
      </c>
      <c r="F804" s="10">
        <v>11</v>
      </c>
      <c r="G804" s="10">
        <f t="shared" si="22"/>
        <v>22</v>
      </c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</row>
    <row r="805" spans="1:22" ht="13.2">
      <c r="A805" s="42">
        <v>45904</v>
      </c>
      <c r="B805" s="10">
        <v>1</v>
      </c>
      <c r="C805" s="10" t="s">
        <v>253</v>
      </c>
      <c r="D805" s="10" t="s">
        <v>23</v>
      </c>
      <c r="E805" s="10" t="s">
        <v>427</v>
      </c>
      <c r="F805" s="10">
        <v>17</v>
      </c>
      <c r="G805" s="10">
        <f t="shared" si="22"/>
        <v>17</v>
      </c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</row>
    <row r="806" spans="1:22" ht="13.2">
      <c r="A806" s="42">
        <v>45904</v>
      </c>
      <c r="B806" s="10">
        <v>1</v>
      </c>
      <c r="C806" s="10" t="s">
        <v>123</v>
      </c>
      <c r="D806" s="10" t="s">
        <v>23</v>
      </c>
      <c r="E806" s="10" t="s">
        <v>428</v>
      </c>
      <c r="F806" s="10">
        <v>9.9</v>
      </c>
      <c r="G806" s="10">
        <f t="shared" si="22"/>
        <v>9.9</v>
      </c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</row>
    <row r="807" spans="1:22" ht="13.2">
      <c r="A807" s="42">
        <v>45905</v>
      </c>
      <c r="B807" s="10">
        <v>1</v>
      </c>
      <c r="C807" s="10" t="s">
        <v>253</v>
      </c>
      <c r="D807" s="10" t="s">
        <v>23</v>
      </c>
      <c r="E807" s="10" t="s">
        <v>418</v>
      </c>
      <c r="F807" s="10">
        <v>750</v>
      </c>
      <c r="G807" s="10">
        <f t="shared" si="22"/>
        <v>750</v>
      </c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</row>
    <row r="808" spans="1:22" ht="13.2">
      <c r="A808" s="42">
        <v>45905</v>
      </c>
      <c r="B808" s="10">
        <v>1</v>
      </c>
      <c r="C808" s="10" t="s">
        <v>253</v>
      </c>
      <c r="D808" s="10" t="s">
        <v>23</v>
      </c>
      <c r="E808" s="10" t="s">
        <v>418</v>
      </c>
      <c r="F808" s="10">
        <v>350</v>
      </c>
      <c r="G808" s="10">
        <f t="shared" si="22"/>
        <v>350</v>
      </c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</row>
    <row r="809" spans="1:22" ht="13.2">
      <c r="A809" s="42">
        <v>45907</v>
      </c>
      <c r="B809" s="10">
        <v>1</v>
      </c>
      <c r="C809" s="10" t="s">
        <v>33</v>
      </c>
      <c r="D809" s="10" t="s">
        <v>23</v>
      </c>
      <c r="E809" s="10" t="s">
        <v>418</v>
      </c>
      <c r="F809" s="10">
        <v>240</v>
      </c>
      <c r="G809" s="10">
        <f t="shared" si="22"/>
        <v>240</v>
      </c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</row>
    <row r="810" spans="1:22" ht="13.2">
      <c r="A810" s="42">
        <v>45907</v>
      </c>
      <c r="B810" s="10">
        <v>2</v>
      </c>
      <c r="C810" s="10" t="s">
        <v>33</v>
      </c>
      <c r="D810" s="10" t="s">
        <v>23</v>
      </c>
      <c r="E810" s="10" t="s">
        <v>424</v>
      </c>
      <c r="F810" s="10">
        <v>16</v>
      </c>
      <c r="G810" s="10">
        <f t="shared" si="22"/>
        <v>32</v>
      </c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</row>
    <row r="811" spans="1:22" ht="13.2">
      <c r="A811" s="42">
        <v>45907</v>
      </c>
      <c r="B811" s="10">
        <v>1</v>
      </c>
      <c r="C811" s="10" t="s">
        <v>33</v>
      </c>
      <c r="D811" s="10" t="s">
        <v>23</v>
      </c>
      <c r="E811" s="10" t="s">
        <v>429</v>
      </c>
      <c r="F811" s="10">
        <v>10</v>
      </c>
      <c r="G811" s="10">
        <f t="shared" si="22"/>
        <v>10</v>
      </c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</row>
    <row r="812" spans="1:22" ht="13.2">
      <c r="A812" s="42">
        <v>45907</v>
      </c>
      <c r="B812" s="10">
        <v>1</v>
      </c>
      <c r="C812" s="10" t="s">
        <v>123</v>
      </c>
      <c r="D812" s="10" t="s">
        <v>23</v>
      </c>
      <c r="E812" s="10" t="s">
        <v>428</v>
      </c>
      <c r="F812" s="10">
        <v>10</v>
      </c>
      <c r="G812" s="10">
        <f t="shared" si="22"/>
        <v>10</v>
      </c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</row>
    <row r="813" spans="1:22" ht="13.2">
      <c r="A813" s="42">
        <v>45908</v>
      </c>
      <c r="B813" s="10">
        <v>3</v>
      </c>
      <c r="C813" s="10" t="s">
        <v>31</v>
      </c>
      <c r="D813" s="10" t="s">
        <v>31</v>
      </c>
      <c r="E813" s="10" t="s">
        <v>5</v>
      </c>
      <c r="F813" s="10">
        <v>3</v>
      </c>
      <c r="G813" s="10">
        <f t="shared" si="22"/>
        <v>9</v>
      </c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</row>
    <row r="814" spans="1:22" ht="13.2">
      <c r="A814" s="42">
        <v>45908</v>
      </c>
      <c r="B814" s="10">
        <v>1</v>
      </c>
      <c r="C814" s="10" t="s">
        <v>31</v>
      </c>
      <c r="D814" s="10" t="s">
        <v>31</v>
      </c>
      <c r="E814" s="10" t="s">
        <v>5</v>
      </c>
      <c r="F814" s="10">
        <v>6</v>
      </c>
      <c r="G814" s="10">
        <f t="shared" si="22"/>
        <v>6</v>
      </c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</row>
    <row r="815" spans="1:22" ht="13.2">
      <c r="A815" s="42">
        <v>45908</v>
      </c>
      <c r="B815" s="10">
        <v>1</v>
      </c>
      <c r="C815" s="10" t="s">
        <v>31</v>
      </c>
      <c r="D815" s="10" t="s">
        <v>31</v>
      </c>
      <c r="E815" s="10" t="s">
        <v>370</v>
      </c>
      <c r="F815" s="10">
        <v>6</v>
      </c>
      <c r="G815" s="10">
        <f t="shared" si="22"/>
        <v>6</v>
      </c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</row>
    <row r="816" spans="1:22" ht="13.2">
      <c r="A816" s="42">
        <v>45908</v>
      </c>
      <c r="B816" s="10">
        <v>8</v>
      </c>
      <c r="C816" s="10" t="s">
        <v>123</v>
      </c>
      <c r="D816" s="10" t="s">
        <v>23</v>
      </c>
      <c r="E816" s="10" t="s">
        <v>430</v>
      </c>
      <c r="F816" s="10">
        <v>72.5</v>
      </c>
      <c r="G816" s="10">
        <f t="shared" si="22"/>
        <v>580</v>
      </c>
      <c r="H816" s="27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</row>
    <row r="817" spans="1:22" ht="13.2">
      <c r="A817" s="42">
        <v>45908</v>
      </c>
      <c r="B817" s="10">
        <v>10</v>
      </c>
      <c r="C817" s="10" t="s">
        <v>123</v>
      </c>
      <c r="D817" s="10" t="s">
        <v>23</v>
      </c>
      <c r="E817" s="10" t="s">
        <v>137</v>
      </c>
      <c r="F817" s="10">
        <v>29.9</v>
      </c>
      <c r="G817" s="10">
        <f t="shared" si="22"/>
        <v>299</v>
      </c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</row>
    <row r="818" spans="1:22" ht="13.2">
      <c r="A818" s="42">
        <v>45908</v>
      </c>
      <c r="B818" s="10">
        <v>1</v>
      </c>
      <c r="C818" s="10" t="s">
        <v>123</v>
      </c>
      <c r="D818" s="10" t="s">
        <v>23</v>
      </c>
      <c r="E818" s="10" t="s">
        <v>376</v>
      </c>
      <c r="F818" s="10">
        <v>39.9</v>
      </c>
      <c r="G818" s="10">
        <f t="shared" si="22"/>
        <v>39.9</v>
      </c>
      <c r="H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</row>
    <row r="819" spans="1:22" ht="13.2">
      <c r="A819" s="42">
        <v>45908</v>
      </c>
      <c r="B819" s="10">
        <v>1</v>
      </c>
      <c r="C819" s="10" t="s">
        <v>123</v>
      </c>
      <c r="D819" s="10" t="s">
        <v>23</v>
      </c>
      <c r="E819" s="10" t="s">
        <v>431</v>
      </c>
      <c r="F819" s="10">
        <v>13.9</v>
      </c>
      <c r="G819" s="10">
        <f t="shared" si="22"/>
        <v>13.9</v>
      </c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</row>
    <row r="820" spans="1:22" ht="13.2">
      <c r="A820" s="42">
        <v>45908</v>
      </c>
      <c r="B820" s="10">
        <v>1</v>
      </c>
      <c r="C820" s="10" t="s">
        <v>31</v>
      </c>
      <c r="D820" s="10" t="s">
        <v>23</v>
      </c>
      <c r="E820" s="10" t="s">
        <v>408</v>
      </c>
      <c r="F820" s="10">
        <v>13.9</v>
      </c>
      <c r="G820" s="10">
        <f t="shared" si="22"/>
        <v>13.9</v>
      </c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</row>
    <row r="821" spans="1:22" ht="13.2">
      <c r="A821" s="42">
        <v>45909</v>
      </c>
      <c r="B821" s="10">
        <v>8</v>
      </c>
      <c r="C821" s="10" t="s">
        <v>123</v>
      </c>
      <c r="D821" s="10" t="s">
        <v>23</v>
      </c>
      <c r="E821" s="10" t="s">
        <v>430</v>
      </c>
      <c r="F821" s="10">
        <v>72.5</v>
      </c>
      <c r="G821" s="10">
        <f t="shared" si="22"/>
        <v>580</v>
      </c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</row>
    <row r="822" spans="1:22" ht="13.2">
      <c r="A822" s="42">
        <v>45909</v>
      </c>
      <c r="B822" s="10">
        <v>13</v>
      </c>
      <c r="C822" s="10" t="s">
        <v>123</v>
      </c>
      <c r="D822" s="10" t="s">
        <v>23</v>
      </c>
      <c r="E822" s="10" t="s">
        <v>432</v>
      </c>
      <c r="F822" s="10">
        <v>31.5</v>
      </c>
      <c r="G822" s="10">
        <f t="shared" si="22"/>
        <v>409.5</v>
      </c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</row>
    <row r="823" spans="1:22" ht="13.2">
      <c r="A823" s="42">
        <v>45909</v>
      </c>
      <c r="B823" s="10">
        <v>3</v>
      </c>
      <c r="C823" s="10" t="s">
        <v>123</v>
      </c>
      <c r="D823" s="10" t="s">
        <v>23</v>
      </c>
      <c r="E823" s="10" t="s">
        <v>151</v>
      </c>
      <c r="F823" s="10">
        <v>12</v>
      </c>
      <c r="G823" s="10">
        <f t="shared" si="22"/>
        <v>36</v>
      </c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</row>
    <row r="824" spans="1:22" ht="13.2">
      <c r="A824" s="42">
        <v>45909</v>
      </c>
      <c r="B824" s="10">
        <v>1</v>
      </c>
      <c r="C824" s="10" t="s">
        <v>123</v>
      </c>
      <c r="D824" s="10" t="s">
        <v>23</v>
      </c>
      <c r="E824" s="10" t="s">
        <v>428</v>
      </c>
      <c r="F824" s="10">
        <f>3+4+3.8+5</f>
        <v>15.8</v>
      </c>
      <c r="G824" s="10">
        <f t="shared" si="22"/>
        <v>15.8</v>
      </c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</row>
    <row r="825" spans="1:22" ht="13.2">
      <c r="A825" s="42">
        <v>45909</v>
      </c>
      <c r="B825" s="10">
        <v>4</v>
      </c>
      <c r="C825" s="10" t="s">
        <v>123</v>
      </c>
      <c r="D825" s="10" t="s">
        <v>23</v>
      </c>
      <c r="E825" s="10" t="s">
        <v>365</v>
      </c>
      <c r="F825" s="10">
        <v>1</v>
      </c>
      <c r="G825" s="10">
        <f t="shared" si="22"/>
        <v>4</v>
      </c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</row>
    <row r="826" spans="1:22" ht="13.2">
      <c r="A826" s="42">
        <v>45909</v>
      </c>
      <c r="B826" s="10">
        <v>9</v>
      </c>
      <c r="C826" s="10" t="s">
        <v>123</v>
      </c>
      <c r="D826" s="10" t="s">
        <v>23</v>
      </c>
      <c r="E826" s="10" t="s">
        <v>432</v>
      </c>
      <c r="F826" s="10">
        <v>31.6111111111111</v>
      </c>
      <c r="G826" s="10">
        <f t="shared" si="22"/>
        <v>284.49999999999989</v>
      </c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</row>
    <row r="827" spans="1:22" ht="13.2">
      <c r="A827" s="42">
        <v>45909</v>
      </c>
      <c r="B827" s="10">
        <v>1</v>
      </c>
      <c r="C827" s="10" t="s">
        <v>25</v>
      </c>
      <c r="D827" s="10" t="s">
        <v>25</v>
      </c>
      <c r="E827" s="10" t="s">
        <v>231</v>
      </c>
      <c r="F827" s="10">
        <v>100</v>
      </c>
      <c r="G827" s="10">
        <f t="shared" si="22"/>
        <v>100</v>
      </c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</row>
    <row r="828" spans="1:22" ht="13.2">
      <c r="A828" s="42">
        <v>45910</v>
      </c>
      <c r="B828" s="10">
        <v>1</v>
      </c>
      <c r="C828" s="10" t="s">
        <v>25</v>
      </c>
      <c r="D828" s="10" t="s">
        <v>25</v>
      </c>
      <c r="E828" s="10" t="s">
        <v>432</v>
      </c>
      <c r="F828" s="10">
        <v>31.5</v>
      </c>
      <c r="G828" s="10">
        <f t="shared" si="22"/>
        <v>31.5</v>
      </c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</row>
    <row r="829" spans="1:22" ht="13.2">
      <c r="A829" s="42">
        <v>45910</v>
      </c>
      <c r="B829" s="10">
        <v>1</v>
      </c>
      <c r="C829" s="10" t="s">
        <v>25</v>
      </c>
      <c r="D829" s="10" t="s">
        <v>25</v>
      </c>
      <c r="E829" s="10" t="s">
        <v>432</v>
      </c>
      <c r="F829" s="10">
        <v>29.9</v>
      </c>
      <c r="G829" s="10">
        <f t="shared" si="22"/>
        <v>29.9</v>
      </c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</row>
    <row r="830" spans="1:22" ht="13.2">
      <c r="A830" s="42">
        <v>45910</v>
      </c>
      <c r="B830" s="10">
        <v>1</v>
      </c>
      <c r="C830" s="10" t="s">
        <v>73</v>
      </c>
      <c r="D830" s="10" t="s">
        <v>31</v>
      </c>
      <c r="E830" s="10" t="s">
        <v>433</v>
      </c>
      <c r="F830" s="10">
        <v>60</v>
      </c>
      <c r="G830" s="10">
        <f t="shared" si="22"/>
        <v>60</v>
      </c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</row>
    <row r="831" spans="1:22" ht="13.2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</row>
    <row r="832" spans="1:22" ht="13.2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</row>
    <row r="833" spans="1:22" ht="13.2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</row>
    <row r="834" spans="1:22" ht="13.2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</row>
    <row r="835" spans="1:22" ht="13.2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</row>
    <row r="836" spans="1:22" ht="13.2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</row>
    <row r="837" spans="1:22" ht="13.2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</row>
    <row r="838" spans="1:22" ht="13.2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</row>
    <row r="839" spans="1:22" ht="13.2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</row>
    <row r="840" spans="1:22" ht="13.2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</row>
    <row r="841" spans="1:22" ht="13.2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</row>
    <row r="842" spans="1:22" ht="13.2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</row>
    <row r="843" spans="1:22" ht="13.2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</row>
    <row r="844" spans="1:22" ht="13.2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</row>
    <row r="845" spans="1:22" ht="13.2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</row>
    <row r="846" spans="1:22" ht="13.2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</row>
    <row r="847" spans="1:22" ht="13.2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</row>
    <row r="848" spans="1:22" ht="13.2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</row>
    <row r="849" spans="1:22" ht="13.2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</row>
    <row r="850" spans="1:22" ht="13.2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</row>
    <row r="851" spans="1:22" ht="13.2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</row>
    <row r="852" spans="1:22" ht="13.2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</row>
    <row r="853" spans="1:22" ht="13.2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</row>
    <row r="854" spans="1:22" ht="13.2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</row>
    <row r="855" spans="1:22" ht="13.2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</row>
    <row r="856" spans="1:22" ht="13.2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</row>
    <row r="857" spans="1:22" ht="13.2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</row>
    <row r="858" spans="1:22" ht="13.2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</row>
    <row r="859" spans="1:22" ht="13.2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</row>
    <row r="860" spans="1:22" ht="13.2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</row>
    <row r="861" spans="1:22" ht="13.2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</row>
    <row r="862" spans="1:22" ht="13.2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</row>
    <row r="863" spans="1:22" ht="13.2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</row>
    <row r="864" spans="1:22" ht="13.2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</row>
    <row r="865" spans="1:22" ht="13.2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</row>
    <row r="866" spans="1:22" ht="13.2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</row>
    <row r="867" spans="1:22" ht="13.2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</row>
    <row r="868" spans="1:22" ht="13.2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</row>
    <row r="869" spans="1:22" ht="13.2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</row>
    <row r="870" spans="1:22" ht="13.2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</row>
    <row r="871" spans="1:22" ht="13.2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</row>
    <row r="872" spans="1:22" ht="13.2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</row>
    <row r="873" spans="1:22" ht="13.2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</row>
    <row r="874" spans="1:22" ht="13.2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</row>
    <row r="875" spans="1:22" ht="13.2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</row>
    <row r="876" spans="1:22" ht="13.2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</row>
    <row r="877" spans="1:22" ht="13.2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</row>
    <row r="878" spans="1:22" ht="13.2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</row>
    <row r="879" spans="1:22" ht="13.2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</row>
    <row r="880" spans="1:22" ht="13.2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</row>
    <row r="881" spans="1:22" ht="13.2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</row>
    <row r="882" spans="1:22" ht="13.2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</row>
    <row r="883" spans="1:22" ht="13.2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</row>
    <row r="884" spans="1:22" ht="13.2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</row>
    <row r="885" spans="1:22" ht="13.2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</row>
    <row r="886" spans="1:22" ht="13.2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</row>
    <row r="887" spans="1:22" ht="13.2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</row>
    <row r="888" spans="1:22" ht="13.2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</row>
    <row r="889" spans="1:22" ht="13.2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</row>
    <row r="890" spans="1:22" ht="13.2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</row>
    <row r="891" spans="1:22" ht="13.2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</row>
    <row r="892" spans="1:22" ht="13.2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</row>
    <row r="893" spans="1:22" ht="13.2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</row>
    <row r="894" spans="1:22" ht="13.2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</row>
    <row r="895" spans="1:22" ht="13.2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</row>
    <row r="896" spans="1:22" ht="13.2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</row>
    <row r="897" spans="1:22" ht="13.2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</row>
    <row r="898" spans="1:22" ht="13.2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</row>
    <row r="899" spans="1:22" ht="13.2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</row>
    <row r="900" spans="1:22" ht="13.2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</row>
    <row r="901" spans="1:22" ht="13.2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</row>
    <row r="902" spans="1:22" ht="13.2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</row>
    <row r="903" spans="1:22" ht="13.2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</row>
    <row r="904" spans="1:22" ht="13.2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</row>
    <row r="905" spans="1:22" ht="13.2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</row>
    <row r="906" spans="1:22" ht="13.2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</row>
    <row r="907" spans="1:22" ht="13.2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</row>
    <row r="908" spans="1:22" ht="13.2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</row>
    <row r="909" spans="1:22" ht="13.2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</row>
    <row r="910" spans="1:22" ht="13.2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</row>
    <row r="911" spans="1:22" ht="13.2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</row>
    <row r="912" spans="1:22" ht="13.2">
      <c r="A912" s="2"/>
      <c r="B912" s="2"/>
      <c r="C912" s="2"/>
      <c r="D912" s="2"/>
      <c r="E912" s="2"/>
      <c r="F912" s="2"/>
      <c r="G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</row>
    <row r="913" spans="1:22" ht="13.2">
      <c r="A913" s="2"/>
      <c r="B913" s="2"/>
      <c r="C913" s="2"/>
      <c r="D913" s="2"/>
      <c r="E913" s="2"/>
      <c r="F913" s="2"/>
      <c r="G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</row>
    <row r="914" spans="1:22" ht="13.2">
      <c r="A914" s="2"/>
      <c r="B914" s="2"/>
      <c r="C914" s="2"/>
      <c r="D914" s="2"/>
      <c r="E914" s="2"/>
      <c r="F914" s="2"/>
      <c r="G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</row>
    <row r="915" spans="1:22" ht="13.2">
      <c r="A915" s="2"/>
      <c r="B915" s="2"/>
      <c r="C915" s="2"/>
      <c r="D915" s="2"/>
      <c r="E915" s="2"/>
      <c r="F915" s="2"/>
      <c r="G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</row>
    <row r="916" spans="1:22" ht="13.2">
      <c r="A916" s="2"/>
      <c r="B916" s="2"/>
      <c r="C916" s="2"/>
      <c r="D916" s="2"/>
      <c r="E916" s="2"/>
      <c r="F916" s="2"/>
      <c r="G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</row>
    <row r="917" spans="1:22" ht="13.2">
      <c r="A917" s="2"/>
      <c r="B917" s="2"/>
      <c r="C917" s="2"/>
      <c r="D917" s="2"/>
      <c r="E917" s="2"/>
      <c r="F917" s="2"/>
      <c r="G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</row>
    <row r="918" spans="1:22" ht="13.2">
      <c r="A918" s="2"/>
      <c r="B918" s="2"/>
      <c r="C918" s="2"/>
      <c r="D918" s="2"/>
      <c r="E918" s="2"/>
      <c r="F918" s="2"/>
      <c r="G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</row>
    <row r="919" spans="1:22" ht="13.2">
      <c r="A919" s="2"/>
      <c r="B919" s="2"/>
      <c r="C919" s="2"/>
      <c r="D919" s="2"/>
      <c r="E919" s="2"/>
      <c r="F919" s="2"/>
      <c r="G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</row>
    <row r="920" spans="1:22" ht="13.2">
      <c r="A920" s="2"/>
      <c r="B920" s="2"/>
      <c r="C920" s="2"/>
      <c r="D920" s="2"/>
      <c r="E920" s="2"/>
      <c r="F920" s="2"/>
      <c r="G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</row>
    <row r="921" spans="1:22" ht="13.2">
      <c r="A921" s="2"/>
      <c r="B921" s="2"/>
      <c r="C921" s="2"/>
      <c r="D921" s="2"/>
      <c r="E921" s="2"/>
      <c r="F921" s="2"/>
      <c r="G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</row>
    <row r="922" spans="1:22" ht="13.2">
      <c r="A922" s="2"/>
      <c r="B922" s="2"/>
      <c r="C922" s="2"/>
      <c r="D922" s="2"/>
      <c r="E922" s="2"/>
      <c r="F922" s="2"/>
      <c r="G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</row>
    <row r="923" spans="1:22" ht="13.2">
      <c r="A923" s="2"/>
      <c r="B923" s="2"/>
      <c r="C923" s="2"/>
      <c r="D923" s="2"/>
      <c r="E923" s="2"/>
      <c r="F923" s="2"/>
      <c r="G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</row>
    <row r="924" spans="1:22" ht="13.2">
      <c r="A924" s="2"/>
      <c r="B924" s="2"/>
      <c r="C924" s="2"/>
      <c r="D924" s="2"/>
      <c r="E924" s="2"/>
      <c r="F924" s="2"/>
      <c r="G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</row>
    <row r="925" spans="1:22" ht="13.2">
      <c r="A925" s="2"/>
      <c r="B925" s="2"/>
      <c r="C925" s="2"/>
      <c r="D925" s="2"/>
      <c r="E925" s="2"/>
      <c r="F925" s="2"/>
      <c r="G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</row>
    <row r="926" spans="1:22" ht="13.2">
      <c r="A926" s="2"/>
      <c r="B926" s="2"/>
      <c r="C926" s="2"/>
      <c r="D926" s="2"/>
      <c r="E926" s="2"/>
      <c r="F926" s="2"/>
      <c r="G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</row>
    <row r="927" spans="1:22" ht="13.2">
      <c r="A927" s="2"/>
      <c r="B927" s="2"/>
      <c r="C927" s="2"/>
      <c r="D927" s="2"/>
      <c r="E927" s="2"/>
      <c r="F927" s="2"/>
      <c r="G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</row>
    <row r="928" spans="1:22" ht="13.2">
      <c r="A928" s="2"/>
      <c r="B928" s="2"/>
      <c r="C928" s="2"/>
      <c r="D928" s="2"/>
      <c r="E928" s="2"/>
      <c r="F928" s="2"/>
      <c r="G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</row>
    <row r="929" spans="1:22" ht="13.2">
      <c r="A929" s="2"/>
      <c r="B929" s="2"/>
      <c r="C929" s="2"/>
      <c r="D929" s="2"/>
      <c r="E929" s="2"/>
      <c r="F929" s="2"/>
      <c r="G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</row>
    <row r="930" spans="1:22" ht="13.2">
      <c r="A930" s="2"/>
      <c r="B930" s="2"/>
      <c r="C930" s="2"/>
      <c r="D930" s="2"/>
      <c r="E930" s="2"/>
      <c r="F930" s="2"/>
      <c r="G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</row>
    <row r="931" spans="1:22" ht="13.2">
      <c r="A931" s="30"/>
      <c r="B931" s="2"/>
      <c r="C931" s="2"/>
      <c r="D931" s="2"/>
      <c r="E931" s="2"/>
      <c r="F931" s="2"/>
      <c r="G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</row>
  </sheetData>
  <dataValidations count="6">
    <dataValidation type="list" allowBlank="1" showErrorMessage="1" sqref="C114" xr:uid="{00000000-0002-0000-0100-000000000000}">
      <formula1>"Google Ads,Insumos,Personal,Compartir,Profesor,Asesoría,Local,Medicamento,Reparaciones,Reparaciones,Contador,Taxis,IA,Diseño,Hosting,Clases,Beneficios Sociales,Empresa,Máquinas,Devoluciones,Abogado,Material de oficina"</formula1>
    </dataValidation>
    <dataValidation type="list" allowBlank="1" showErrorMessage="1" sqref="C107:C108 C110:C112 C207:C213 C215:C217 C311:C314 C317:C328 C330:C335 C340:C348 C352 C354:C358 C360 C366:C369 C372:C393 C395:C402 C404:C431 C433 C435 C437:C438 C445:C448 C457 C459:C472 C477:C478 C481:C639 C641:C696 C698:C744 C745:D745 C747:C784 C786:C830" xr:uid="{00000000-0002-0000-0100-000001000000}">
      <formula1>"Empresa,IA,Clases,Hosting,Beneficios Sociales,Diseño,Empleos,Local,Inmueble,Personal Ventas,Personal Limpieza,Colchón,Pisos,Cocina,Ventanas,Baño,Alfombra,Personal Marketing,Taxis,Mueble,Medicamento,Marketing,Asesoria,Oficina,Reparaciones"</formula1>
    </dataValidation>
    <dataValidation type="list" allowBlank="1" showErrorMessage="1" sqref="C2:D53 D54 C55:D55 D56:D57 C58:D62 D63 C64:D70 D71:D72 C73:D74 D75 C76:D82 D83 C84:D87 D88 C89:D91 D92 C93:D106 D107:D108 C109:D109 D110:D112 C113:D113 D114 C115:D116 D117 C118:D118 D119:D130 C131:D134 D135 C136:D137 D138:D141 C142:D144 D145 C146:D160 D161 C162:D162 D163:D164 C165:D165 D166:D167 C168:D177 D178 C179:D179 D180:D181 C182:D182 D183:D184 C185:D188 D189 C190:D191 D192 C193:D206 D207:D213 C214:D214 D215:D217 C218:D230 D231 C232:D233 D234:D242 C243:D243 D244:D248 C249:D252 D253:D255 C256:D256 D257:D258 C259:D260 D261 C262:D262 D263:D264 C265:D267 D268:D269 C270:D271 D272 C273:D273 D274:D287 C288:D288 D289 C290:D296 D297 C298:D298 D299:D307 C308:D310 D311:D314 C315:D316 D317:D328 C329:D329 D330:D335 C336:D339 D340:D348 C349:D351 D352 C353:D353 D354:D358 C359:D359 D360 C361:D365 D366:D369 C370:D371 D372:D393 C394:D394 D395:D402 C403:D403 D404:D431 C432:D432 D433 C434:D434 D435 C436:D436 D437:D438 C439:D444 D445:D448 C449:D456 D457 C458:D458 D459:D472 C473:D476 D477:D478 C479:D480 D481:D696 C697:D697 D698:D744 D746:D830" xr:uid="{00000000-0002-0000-0100-000002000000}">
      <formula1>"Empresa,Medicamento,Clases,Marketing,Abogados,Reparaciones,Limpieza,Psicologo"</formula1>
    </dataValidation>
    <dataValidation type="list" allowBlank="1" showErrorMessage="1" sqref="C746" xr:uid="{00000000-0002-0000-0100-000003000000}">
      <formula1>"Empresa,IA,Clases,Hosting,Beneficios Sociales,Diseño,Empleos,Local,Inmueble,Personal Ventas,Personal Limpieza,Colchón,Pisos,Cocina,Ventanas,Baño,Alfombra,Personal Marketing,Taxis,Mueble,Medicamento,Marketing,Asesoria,Oficina,Insumos"</formula1>
    </dataValidation>
    <dataValidation type="list" allowBlank="1" showErrorMessage="1" sqref="C54 C56:C57 C63 C71:C72 C75 C83 C88 C92 C117 C119:C130 C135 C138:C141 C145 C161 C163:C164 C166:C167 C178 C180:C181 C183:C184 C189 C192" xr:uid="{00000000-0002-0000-0100-000004000000}">
      <formula1>"empresa,Pisos,colchones,medicamentos,clases,marketing,abogados,reparaciones,Personal Limpieza,Personal Marketing,Personal Ventas"</formula1>
    </dataValidation>
    <dataValidation type="list" allowBlank="1" showErrorMessage="1" sqref="C231 C234:C242 C244:C248 C253:C255 C257:C258 C261 C263:C264 C268:C269 C272 C274:C287 C289 C297 C299:C307 C640 C785" xr:uid="{00000000-0002-0000-0100-000005000000}">
      <formula1>"Empresa,IA,Clases,Hosting,Beneficios Sociales,Diseño,Empleos,Local,Inmueble,Personal Ventas,Personal Limpieza,Colchón,Pisos,Cocina,Ventanas,Baño,Alfombra,Personal Marketing,Taxis,Marketing"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FFFF"/>
    <outlinePr summaryBelow="0" summaryRight="0"/>
  </sheetPr>
  <dimension ref="A1:N1103"/>
  <sheetViews>
    <sheetView topLeftCell="E1" workbookViewId="0">
      <pane ySplit="1" topLeftCell="A2" activePane="bottomLeft" state="frozen"/>
      <selection pane="bottomLeft" activeCell="A2" sqref="A2:A1038"/>
    </sheetView>
  </sheetViews>
  <sheetFormatPr baseColWidth="10" defaultColWidth="12.6640625" defaultRowHeight="15.75" customHeight="1"/>
  <cols>
    <col min="2" max="2" width="31.77734375" customWidth="1"/>
    <col min="3" max="3" width="20.109375" customWidth="1"/>
    <col min="4" max="4" width="42.109375" customWidth="1"/>
    <col min="5" max="5" width="19.88671875" customWidth="1"/>
    <col min="6" max="6" width="27.21875" customWidth="1"/>
    <col min="7" max="7" width="26.33203125" customWidth="1"/>
    <col min="8" max="8" width="36.109375" customWidth="1"/>
    <col min="9" max="9" width="32.109375" customWidth="1"/>
    <col min="11" max="11" width="13.33203125" customWidth="1"/>
    <col min="12" max="12" width="10.109375" customWidth="1"/>
    <col min="13" max="13" width="16.88671875" customWidth="1"/>
  </cols>
  <sheetData>
    <row r="1" spans="1:14" ht="13.2">
      <c r="A1" s="45" t="s">
        <v>15</v>
      </c>
      <c r="B1" s="46" t="s">
        <v>434</v>
      </c>
      <c r="C1" s="47" t="s">
        <v>435</v>
      </c>
      <c r="D1" s="45" t="s">
        <v>436</v>
      </c>
      <c r="E1" s="45" t="s">
        <v>437</v>
      </c>
      <c r="F1" s="45" t="s">
        <v>17</v>
      </c>
      <c r="G1" s="45" t="s">
        <v>18</v>
      </c>
      <c r="H1" s="47" t="s">
        <v>438</v>
      </c>
      <c r="I1" s="47" t="s">
        <v>439</v>
      </c>
      <c r="J1" s="48" t="s">
        <v>440</v>
      </c>
      <c r="K1" s="49" t="s">
        <v>441</v>
      </c>
      <c r="L1" s="49" t="s">
        <v>442</v>
      </c>
      <c r="M1" s="47" t="s">
        <v>443</v>
      </c>
      <c r="N1" s="2"/>
    </row>
    <row r="2" spans="1:14" ht="14.4">
      <c r="A2" s="50">
        <v>45659</v>
      </c>
      <c r="B2" s="51" t="s">
        <v>444</v>
      </c>
      <c r="C2" s="52" t="s">
        <v>445</v>
      </c>
      <c r="D2" s="53" t="s">
        <v>446</v>
      </c>
      <c r="E2" s="53" t="s">
        <v>447</v>
      </c>
      <c r="F2" s="54" t="s">
        <v>252</v>
      </c>
      <c r="G2" s="54" t="s">
        <v>23</v>
      </c>
      <c r="H2" s="55" t="s">
        <v>448</v>
      </c>
      <c r="I2" s="55"/>
      <c r="J2" s="56">
        <v>195</v>
      </c>
      <c r="K2" s="56"/>
      <c r="L2" s="57">
        <v>390</v>
      </c>
      <c r="M2" s="58" t="s">
        <v>449</v>
      </c>
    </row>
    <row r="3" spans="1:14" ht="14.4">
      <c r="A3" s="60">
        <v>45659</v>
      </c>
      <c r="B3" s="61" t="s">
        <v>451</v>
      </c>
      <c r="C3" s="62" t="s">
        <v>452</v>
      </c>
      <c r="D3" s="20" t="s">
        <v>453</v>
      </c>
      <c r="E3" s="54" t="s">
        <v>447</v>
      </c>
      <c r="F3" s="54" t="s">
        <v>252</v>
      </c>
      <c r="G3" s="54" t="s">
        <v>23</v>
      </c>
      <c r="H3" s="39" t="s">
        <v>454</v>
      </c>
      <c r="I3" s="39"/>
      <c r="J3" s="44" t="s">
        <v>455</v>
      </c>
      <c r="K3" s="44"/>
      <c r="L3" s="63"/>
      <c r="M3" s="64" t="s">
        <v>456</v>
      </c>
    </row>
    <row r="4" spans="1:14" ht="14.4">
      <c r="A4" s="60">
        <v>45659</v>
      </c>
      <c r="B4" s="61" t="s">
        <v>457</v>
      </c>
      <c r="C4" s="62" t="s">
        <v>458</v>
      </c>
      <c r="D4" s="54" t="s">
        <v>446</v>
      </c>
      <c r="E4" s="54" t="s">
        <v>447</v>
      </c>
      <c r="F4" s="54" t="s">
        <v>252</v>
      </c>
      <c r="G4" s="54" t="s">
        <v>23</v>
      </c>
      <c r="H4" s="39" t="s">
        <v>459</v>
      </c>
      <c r="I4" s="39"/>
      <c r="J4" s="44">
        <v>1043</v>
      </c>
      <c r="K4" s="44"/>
      <c r="L4" s="63">
        <v>1490</v>
      </c>
      <c r="M4" s="58" t="s">
        <v>449</v>
      </c>
    </row>
    <row r="5" spans="1:14" ht="14.4">
      <c r="A5" s="65">
        <v>45659</v>
      </c>
      <c r="B5" s="61" t="s">
        <v>460</v>
      </c>
      <c r="C5" s="66" t="s">
        <v>461</v>
      </c>
      <c r="D5" s="54" t="s">
        <v>462</v>
      </c>
      <c r="E5" s="54" t="s">
        <v>447</v>
      </c>
      <c r="F5" s="54" t="s">
        <v>463</v>
      </c>
      <c r="G5" s="54" t="s">
        <v>40</v>
      </c>
      <c r="H5" s="39" t="s">
        <v>464</v>
      </c>
      <c r="I5" s="39"/>
      <c r="J5" s="44">
        <v>300</v>
      </c>
      <c r="K5" s="44"/>
      <c r="L5" s="63">
        <v>300</v>
      </c>
      <c r="M5" s="64" t="s">
        <v>456</v>
      </c>
    </row>
    <row r="6" spans="1:14" ht="14.4">
      <c r="A6" s="65">
        <v>45659</v>
      </c>
      <c r="B6" s="61" t="s">
        <v>465</v>
      </c>
      <c r="C6" s="39" t="s">
        <v>466</v>
      </c>
      <c r="D6" s="20" t="s">
        <v>467</v>
      </c>
      <c r="E6" s="54" t="s">
        <v>447</v>
      </c>
      <c r="F6" s="54"/>
      <c r="G6" s="54" t="s">
        <v>27</v>
      </c>
      <c r="H6" s="39" t="s">
        <v>468</v>
      </c>
      <c r="I6" s="39"/>
      <c r="J6" s="44">
        <v>390</v>
      </c>
      <c r="K6" s="44"/>
      <c r="L6" s="63">
        <v>390</v>
      </c>
      <c r="M6" s="64" t="s">
        <v>456</v>
      </c>
    </row>
    <row r="7" spans="1:14" ht="14.4">
      <c r="A7" s="67">
        <v>45660</v>
      </c>
      <c r="B7" s="68" t="s">
        <v>469</v>
      </c>
      <c r="C7" s="69" t="s">
        <v>470</v>
      </c>
      <c r="D7" s="70" t="s">
        <v>453</v>
      </c>
      <c r="E7" s="71" t="s">
        <v>447</v>
      </c>
      <c r="F7" s="54" t="s">
        <v>252</v>
      </c>
      <c r="G7" s="54" t="s">
        <v>23</v>
      </c>
      <c r="H7" s="69" t="s">
        <v>471</v>
      </c>
      <c r="I7" s="69"/>
      <c r="J7" s="72">
        <v>100</v>
      </c>
      <c r="K7" s="72"/>
      <c r="L7" s="73">
        <v>190</v>
      </c>
      <c r="M7" s="58" t="s">
        <v>449</v>
      </c>
    </row>
    <row r="8" spans="1:14" ht="14.4">
      <c r="A8" s="67">
        <v>45660</v>
      </c>
      <c r="B8" s="68" t="s">
        <v>472</v>
      </c>
      <c r="C8" s="69" t="s">
        <v>473</v>
      </c>
      <c r="D8" s="70" t="s">
        <v>446</v>
      </c>
      <c r="E8" s="71" t="s">
        <v>447</v>
      </c>
      <c r="F8" s="54" t="s">
        <v>253</v>
      </c>
      <c r="G8" s="54" t="s">
        <v>23</v>
      </c>
      <c r="H8" s="69" t="s">
        <v>474</v>
      </c>
      <c r="I8" s="69"/>
      <c r="J8" s="72">
        <v>149</v>
      </c>
      <c r="K8" s="72"/>
      <c r="L8" s="73">
        <v>299</v>
      </c>
      <c r="M8" s="75" t="s">
        <v>475</v>
      </c>
    </row>
    <row r="9" spans="1:14" ht="14.4">
      <c r="A9" s="76">
        <v>45660</v>
      </c>
      <c r="B9" s="68" t="s">
        <v>476</v>
      </c>
      <c r="C9" s="77" t="s">
        <v>477</v>
      </c>
      <c r="D9" s="70" t="s">
        <v>478</v>
      </c>
      <c r="E9" s="71" t="s">
        <v>447</v>
      </c>
      <c r="F9" s="54" t="s">
        <v>56</v>
      </c>
      <c r="G9" s="54" t="s">
        <v>56</v>
      </c>
      <c r="H9" s="77" t="s">
        <v>479</v>
      </c>
      <c r="I9" s="77"/>
      <c r="J9" s="72">
        <v>175</v>
      </c>
      <c r="K9" s="72"/>
      <c r="L9" s="73">
        <v>350</v>
      </c>
      <c r="M9" s="64" t="s">
        <v>480</v>
      </c>
    </row>
    <row r="10" spans="1:14" ht="14.4">
      <c r="A10" s="60">
        <v>45661</v>
      </c>
      <c r="B10" s="61" t="s">
        <v>481</v>
      </c>
      <c r="C10" s="78" t="s">
        <v>482</v>
      </c>
      <c r="D10" s="20" t="s">
        <v>483</v>
      </c>
      <c r="E10" s="54" t="s">
        <v>447</v>
      </c>
      <c r="F10" s="54" t="s">
        <v>463</v>
      </c>
      <c r="G10" s="54" t="s">
        <v>40</v>
      </c>
      <c r="H10" s="62" t="s">
        <v>484</v>
      </c>
      <c r="I10" s="62"/>
      <c r="J10" s="44">
        <v>150</v>
      </c>
      <c r="K10" s="44"/>
      <c r="L10" s="63">
        <v>150</v>
      </c>
      <c r="M10" s="64" t="s">
        <v>475</v>
      </c>
    </row>
    <row r="11" spans="1:14" ht="14.4">
      <c r="A11" s="65">
        <v>45661</v>
      </c>
      <c r="B11" s="61" t="s">
        <v>485</v>
      </c>
      <c r="C11" s="78" t="s">
        <v>486</v>
      </c>
      <c r="D11" s="20" t="s">
        <v>483</v>
      </c>
      <c r="E11" s="54" t="s">
        <v>14</v>
      </c>
      <c r="F11" s="54" t="s">
        <v>487</v>
      </c>
      <c r="G11" s="54" t="s">
        <v>40</v>
      </c>
      <c r="H11" s="39" t="s">
        <v>488</v>
      </c>
      <c r="I11" s="39"/>
      <c r="J11" s="44">
        <v>829</v>
      </c>
      <c r="K11" s="44"/>
      <c r="L11" s="63">
        <v>829</v>
      </c>
      <c r="M11" s="64" t="s">
        <v>475</v>
      </c>
    </row>
    <row r="12" spans="1:14" ht="14.4">
      <c r="A12" s="65">
        <v>45661</v>
      </c>
      <c r="B12" s="61" t="s">
        <v>489</v>
      </c>
      <c r="C12" s="39" t="s">
        <v>490</v>
      </c>
      <c r="D12" s="20" t="s">
        <v>483</v>
      </c>
      <c r="E12" s="54" t="s">
        <v>447</v>
      </c>
      <c r="F12" s="54" t="s">
        <v>463</v>
      </c>
      <c r="G12" s="54" t="s">
        <v>40</v>
      </c>
      <c r="H12" s="39" t="s">
        <v>491</v>
      </c>
      <c r="I12" s="39"/>
      <c r="J12" s="44">
        <v>130</v>
      </c>
      <c r="K12" s="44"/>
      <c r="L12" s="63">
        <v>130</v>
      </c>
      <c r="M12" s="64" t="s">
        <v>456</v>
      </c>
    </row>
    <row r="13" spans="1:14" ht="14.4">
      <c r="A13" s="65">
        <v>45661</v>
      </c>
      <c r="B13" s="61" t="s">
        <v>492</v>
      </c>
      <c r="C13" s="39" t="s">
        <v>493</v>
      </c>
      <c r="D13" s="20" t="s">
        <v>494</v>
      </c>
      <c r="E13" s="54"/>
      <c r="F13" s="54"/>
      <c r="G13" s="54" t="s">
        <v>25</v>
      </c>
      <c r="H13" s="39" t="s">
        <v>495</v>
      </c>
      <c r="I13" s="39"/>
      <c r="J13" s="44">
        <v>980</v>
      </c>
      <c r="K13" s="44"/>
      <c r="L13" s="63">
        <v>980</v>
      </c>
      <c r="M13" s="64" t="s">
        <v>480</v>
      </c>
    </row>
    <row r="14" spans="1:14" ht="14.4">
      <c r="A14" s="65">
        <v>45661</v>
      </c>
      <c r="B14" s="61" t="s">
        <v>496</v>
      </c>
      <c r="C14" s="39" t="s">
        <v>497</v>
      </c>
      <c r="D14" s="20" t="s">
        <v>498</v>
      </c>
      <c r="E14" s="54" t="s">
        <v>447</v>
      </c>
      <c r="F14" s="54" t="s">
        <v>22</v>
      </c>
      <c r="G14" s="54" t="s">
        <v>23</v>
      </c>
      <c r="H14" s="39" t="s">
        <v>499</v>
      </c>
      <c r="I14" s="39"/>
      <c r="J14" s="44">
        <v>300</v>
      </c>
      <c r="K14" s="44"/>
      <c r="L14" s="63">
        <v>499</v>
      </c>
      <c r="M14" s="64" t="s">
        <v>475</v>
      </c>
    </row>
    <row r="15" spans="1:14" ht="14.4">
      <c r="A15" s="65">
        <v>45661</v>
      </c>
      <c r="B15" s="61" t="s">
        <v>500</v>
      </c>
      <c r="C15" s="78" t="s">
        <v>501</v>
      </c>
      <c r="D15" s="20" t="s">
        <v>502</v>
      </c>
      <c r="E15" s="54" t="s">
        <v>447</v>
      </c>
      <c r="F15" s="54" t="s">
        <v>33</v>
      </c>
      <c r="G15" s="54" t="s">
        <v>23</v>
      </c>
      <c r="H15" s="39" t="s">
        <v>503</v>
      </c>
      <c r="I15" s="39"/>
      <c r="J15" s="44">
        <v>80</v>
      </c>
      <c r="K15" s="79"/>
      <c r="L15" s="80">
        <v>80</v>
      </c>
      <c r="M15" s="64" t="s">
        <v>475</v>
      </c>
    </row>
    <row r="16" spans="1:14" ht="14.4">
      <c r="A16" s="65">
        <v>45661</v>
      </c>
      <c r="B16" s="61" t="s">
        <v>504</v>
      </c>
      <c r="C16" s="78" t="s">
        <v>505</v>
      </c>
      <c r="D16" s="20" t="s">
        <v>467</v>
      </c>
      <c r="E16" s="54" t="s">
        <v>447</v>
      </c>
      <c r="F16" s="54" t="s">
        <v>33</v>
      </c>
      <c r="G16" s="54" t="s">
        <v>27</v>
      </c>
      <c r="H16" s="39" t="s">
        <v>506</v>
      </c>
      <c r="I16" s="39"/>
      <c r="J16" s="44">
        <v>390</v>
      </c>
      <c r="K16" s="44"/>
      <c r="L16" s="63">
        <v>390</v>
      </c>
      <c r="M16" s="64" t="s">
        <v>475</v>
      </c>
    </row>
    <row r="17" spans="1:14" ht="14.4">
      <c r="A17" s="67">
        <v>45663</v>
      </c>
      <c r="B17" s="68" t="s">
        <v>507</v>
      </c>
      <c r="C17" s="69" t="s">
        <v>508</v>
      </c>
      <c r="D17" s="70" t="s">
        <v>453</v>
      </c>
      <c r="E17" s="71"/>
      <c r="F17" s="54" t="s">
        <v>33</v>
      </c>
      <c r="G17" s="54" t="s">
        <v>23</v>
      </c>
      <c r="H17" s="69" t="s">
        <v>509</v>
      </c>
      <c r="I17" s="69"/>
      <c r="J17" s="72">
        <v>170</v>
      </c>
      <c r="K17" s="72"/>
      <c r="L17" s="73">
        <v>170</v>
      </c>
      <c r="M17" s="64" t="s">
        <v>480</v>
      </c>
    </row>
    <row r="18" spans="1:14" ht="14.4">
      <c r="A18" s="67">
        <v>45663</v>
      </c>
      <c r="B18" s="68" t="s">
        <v>510</v>
      </c>
      <c r="C18" s="77" t="s">
        <v>511</v>
      </c>
      <c r="D18" s="70" t="s">
        <v>453</v>
      </c>
      <c r="E18" s="71" t="s">
        <v>447</v>
      </c>
      <c r="F18" s="54" t="s">
        <v>252</v>
      </c>
      <c r="G18" s="54" t="s">
        <v>23</v>
      </c>
      <c r="H18" s="69" t="s">
        <v>512</v>
      </c>
      <c r="I18" s="69"/>
      <c r="J18" s="81">
        <v>400</v>
      </c>
      <c r="K18" s="81"/>
      <c r="L18" s="73">
        <v>400</v>
      </c>
      <c r="M18" s="58" t="s">
        <v>449</v>
      </c>
    </row>
    <row r="19" spans="1:14" ht="14.4">
      <c r="A19" s="67">
        <v>45663</v>
      </c>
      <c r="B19" s="68" t="s">
        <v>513</v>
      </c>
      <c r="C19" s="69" t="s">
        <v>514</v>
      </c>
      <c r="D19" s="70" t="s">
        <v>498</v>
      </c>
      <c r="E19" s="71" t="s">
        <v>447</v>
      </c>
      <c r="F19" s="54" t="s">
        <v>22</v>
      </c>
      <c r="G19" s="54" t="s">
        <v>23</v>
      </c>
      <c r="H19" s="69" t="s">
        <v>515</v>
      </c>
      <c r="I19" s="69"/>
      <c r="J19" s="72">
        <v>109.5</v>
      </c>
      <c r="K19" s="72"/>
      <c r="L19" s="73">
        <v>219.5</v>
      </c>
      <c r="M19" s="75" t="s">
        <v>516</v>
      </c>
    </row>
    <row r="20" spans="1:14" ht="14.4">
      <c r="A20" s="67">
        <v>45663</v>
      </c>
      <c r="B20" s="68" t="s">
        <v>517</v>
      </c>
      <c r="C20" s="77" t="s">
        <v>518</v>
      </c>
      <c r="D20" s="70" t="s">
        <v>467</v>
      </c>
      <c r="E20" s="71" t="s">
        <v>519</v>
      </c>
      <c r="F20" s="54"/>
      <c r="G20" s="54" t="s">
        <v>27</v>
      </c>
      <c r="H20" s="69" t="s">
        <v>468</v>
      </c>
      <c r="I20" s="69"/>
      <c r="J20" s="72">
        <v>250</v>
      </c>
      <c r="K20" s="82"/>
      <c r="L20" s="73">
        <v>250</v>
      </c>
      <c r="M20" s="75" t="s">
        <v>516</v>
      </c>
    </row>
    <row r="21" spans="1:14" ht="14.4">
      <c r="A21" s="67">
        <v>45663</v>
      </c>
      <c r="B21" s="68" t="s">
        <v>520</v>
      </c>
      <c r="C21" s="69" t="s">
        <v>521</v>
      </c>
      <c r="D21" s="70" t="s">
        <v>522</v>
      </c>
      <c r="E21" s="71" t="s">
        <v>447</v>
      </c>
      <c r="F21" s="54" t="s">
        <v>252</v>
      </c>
      <c r="G21" s="54" t="s">
        <v>23</v>
      </c>
      <c r="H21" s="69" t="s">
        <v>448</v>
      </c>
      <c r="I21" s="69"/>
      <c r="J21" s="72">
        <v>145</v>
      </c>
      <c r="K21" s="72"/>
      <c r="L21" s="73">
        <v>290</v>
      </c>
      <c r="M21" s="75" t="s">
        <v>516</v>
      </c>
    </row>
    <row r="22" spans="1:14" ht="14.4">
      <c r="A22" s="65">
        <v>45664</v>
      </c>
      <c r="B22" s="61" t="s">
        <v>523</v>
      </c>
      <c r="C22" s="39" t="s">
        <v>524</v>
      </c>
      <c r="D22" s="20" t="s">
        <v>498</v>
      </c>
      <c r="E22" s="54" t="s">
        <v>519</v>
      </c>
      <c r="F22" s="54" t="s">
        <v>22</v>
      </c>
      <c r="G22" s="54" t="s">
        <v>23</v>
      </c>
      <c r="H22" s="39" t="s">
        <v>525</v>
      </c>
      <c r="I22" s="39"/>
      <c r="J22" s="44">
        <v>84.5</v>
      </c>
      <c r="K22" s="44"/>
      <c r="L22" s="63">
        <v>169</v>
      </c>
      <c r="M22" s="64" t="s">
        <v>516</v>
      </c>
    </row>
    <row r="23" spans="1:14" ht="14.4">
      <c r="A23" s="65">
        <v>45664</v>
      </c>
      <c r="B23" s="61" t="s">
        <v>526</v>
      </c>
      <c r="C23" s="39" t="s">
        <v>527</v>
      </c>
      <c r="D23" s="20" t="s">
        <v>502</v>
      </c>
      <c r="E23" s="54" t="s">
        <v>447</v>
      </c>
      <c r="F23" s="54" t="s">
        <v>252</v>
      </c>
      <c r="G23" s="54" t="s">
        <v>23</v>
      </c>
      <c r="H23" s="39" t="s">
        <v>503</v>
      </c>
      <c r="I23" s="39"/>
      <c r="J23" s="44">
        <v>85</v>
      </c>
      <c r="K23" s="44"/>
      <c r="L23" s="63">
        <v>85</v>
      </c>
      <c r="M23" s="64" t="s">
        <v>516</v>
      </c>
    </row>
    <row r="24" spans="1:14" ht="14.4">
      <c r="A24" s="65">
        <v>45664</v>
      </c>
      <c r="B24" s="61" t="s">
        <v>528</v>
      </c>
      <c r="C24" s="83" t="s">
        <v>529</v>
      </c>
      <c r="D24" s="84" t="s">
        <v>530</v>
      </c>
      <c r="E24" s="85" t="s">
        <v>447</v>
      </c>
      <c r="F24" s="54" t="s">
        <v>463</v>
      </c>
      <c r="G24" s="54" t="s">
        <v>40</v>
      </c>
      <c r="H24" s="39" t="s">
        <v>531</v>
      </c>
      <c r="I24" s="39"/>
      <c r="J24" s="44">
        <v>100</v>
      </c>
      <c r="K24" s="44"/>
      <c r="L24" s="63">
        <v>100</v>
      </c>
      <c r="M24" s="64" t="s">
        <v>516</v>
      </c>
    </row>
    <row r="25" spans="1:14" ht="14.4">
      <c r="A25" s="86">
        <v>45665</v>
      </c>
      <c r="B25" s="87" t="s">
        <v>532</v>
      </c>
      <c r="C25" s="88" t="s">
        <v>533</v>
      </c>
      <c r="D25" s="89" t="s">
        <v>446</v>
      </c>
      <c r="E25" s="90" t="s">
        <v>447</v>
      </c>
      <c r="F25" s="54" t="s">
        <v>252</v>
      </c>
      <c r="G25" s="54" t="s">
        <v>23</v>
      </c>
      <c r="H25" s="91" t="s">
        <v>503</v>
      </c>
      <c r="I25" s="91"/>
      <c r="J25" s="92">
        <v>85</v>
      </c>
      <c r="K25" s="92"/>
      <c r="L25" s="93">
        <v>85</v>
      </c>
      <c r="M25" s="58" t="s">
        <v>449</v>
      </c>
    </row>
    <row r="26" spans="1:14" ht="14.4">
      <c r="A26" s="86">
        <v>45665</v>
      </c>
      <c r="B26" s="87"/>
      <c r="C26" s="91" t="s">
        <v>534</v>
      </c>
      <c r="D26" s="89" t="s">
        <v>453</v>
      </c>
      <c r="E26" s="90" t="s">
        <v>519</v>
      </c>
      <c r="F26" s="54" t="s">
        <v>205</v>
      </c>
      <c r="G26" s="54" t="s">
        <v>23</v>
      </c>
      <c r="H26" s="91" t="s">
        <v>535</v>
      </c>
      <c r="I26" s="91"/>
      <c r="J26" s="92">
        <v>110.5</v>
      </c>
      <c r="K26" s="92"/>
      <c r="L26" s="93">
        <v>219</v>
      </c>
      <c r="M26" s="58" t="s">
        <v>536</v>
      </c>
    </row>
    <row r="27" spans="1:14" ht="14.4">
      <c r="A27" s="86">
        <v>45665</v>
      </c>
      <c r="B27" s="87" t="s">
        <v>507</v>
      </c>
      <c r="C27" s="91" t="s">
        <v>508</v>
      </c>
      <c r="D27" s="89" t="s">
        <v>453</v>
      </c>
      <c r="E27" s="90"/>
      <c r="F27" s="54" t="s">
        <v>33</v>
      </c>
      <c r="G27" s="54" t="s">
        <v>23</v>
      </c>
      <c r="H27" s="91" t="s">
        <v>537</v>
      </c>
      <c r="I27" s="91"/>
      <c r="J27" s="92">
        <v>2100</v>
      </c>
      <c r="K27" s="92"/>
      <c r="L27" s="93">
        <v>2990</v>
      </c>
      <c r="M27" s="58" t="s">
        <v>449</v>
      </c>
    </row>
    <row r="28" spans="1:14" ht="14.4">
      <c r="A28" s="86">
        <v>45665</v>
      </c>
      <c r="B28" s="87" t="s">
        <v>538</v>
      </c>
      <c r="C28" s="91" t="s">
        <v>539</v>
      </c>
      <c r="D28" s="89" t="s">
        <v>446</v>
      </c>
      <c r="E28" s="90" t="s">
        <v>447</v>
      </c>
      <c r="F28" s="54" t="s">
        <v>252</v>
      </c>
      <c r="G28" s="54" t="s">
        <v>23</v>
      </c>
      <c r="H28" s="91" t="s">
        <v>540</v>
      </c>
      <c r="I28" s="91"/>
      <c r="J28" s="92">
        <v>50</v>
      </c>
      <c r="K28" s="92"/>
      <c r="L28" s="93">
        <v>50</v>
      </c>
      <c r="M28" s="58" t="s">
        <v>449</v>
      </c>
    </row>
    <row r="29" spans="1:14" ht="14.4">
      <c r="A29" s="86">
        <v>45665</v>
      </c>
      <c r="B29" s="87" t="s">
        <v>541</v>
      </c>
      <c r="C29" s="91" t="s">
        <v>490</v>
      </c>
      <c r="D29" s="89" t="s">
        <v>483</v>
      </c>
      <c r="E29" s="90" t="s">
        <v>447</v>
      </c>
      <c r="F29" s="54" t="s">
        <v>487</v>
      </c>
      <c r="G29" s="54" t="s">
        <v>40</v>
      </c>
      <c r="H29" s="91" t="s">
        <v>542</v>
      </c>
      <c r="I29" s="91"/>
      <c r="J29" s="92">
        <v>629</v>
      </c>
      <c r="K29" s="92"/>
      <c r="L29" s="93">
        <v>629</v>
      </c>
      <c r="M29" s="58"/>
    </row>
    <row r="30" spans="1:14" ht="14.4">
      <c r="A30" s="86">
        <v>45665</v>
      </c>
      <c r="B30" s="87" t="s">
        <v>543</v>
      </c>
      <c r="C30" s="91" t="s">
        <v>544</v>
      </c>
      <c r="D30" s="89" t="s">
        <v>467</v>
      </c>
      <c r="E30" s="90" t="s">
        <v>447</v>
      </c>
      <c r="F30" s="54"/>
      <c r="G30" s="54" t="s">
        <v>27</v>
      </c>
      <c r="H30" s="91" t="s">
        <v>545</v>
      </c>
      <c r="I30" s="91"/>
      <c r="J30" s="92">
        <v>390</v>
      </c>
      <c r="K30" s="92"/>
      <c r="L30" s="93">
        <v>390</v>
      </c>
      <c r="M30" s="58"/>
    </row>
    <row r="31" spans="1:14" ht="14.4">
      <c r="A31" s="86">
        <v>45665</v>
      </c>
      <c r="B31" s="87" t="s">
        <v>546</v>
      </c>
      <c r="C31" s="91" t="s">
        <v>547</v>
      </c>
      <c r="D31" s="89" t="s">
        <v>446</v>
      </c>
      <c r="E31" s="90"/>
      <c r="F31" s="54" t="s">
        <v>252</v>
      </c>
      <c r="G31" s="54" t="s">
        <v>23</v>
      </c>
      <c r="H31" s="91" t="s">
        <v>471</v>
      </c>
      <c r="I31" s="91"/>
      <c r="J31" s="92">
        <v>75</v>
      </c>
      <c r="K31" s="92"/>
      <c r="L31" s="93">
        <v>150</v>
      </c>
      <c r="M31" s="64" t="s">
        <v>480</v>
      </c>
      <c r="N31" s="2"/>
    </row>
    <row r="32" spans="1:14" ht="14.4">
      <c r="A32" s="86">
        <v>45665</v>
      </c>
      <c r="B32" s="87" t="s">
        <v>548</v>
      </c>
      <c r="C32" s="91" t="s">
        <v>549</v>
      </c>
      <c r="D32" s="89" t="s">
        <v>502</v>
      </c>
      <c r="E32" s="90"/>
      <c r="F32" s="54" t="s">
        <v>33</v>
      </c>
      <c r="G32" s="54" t="s">
        <v>23</v>
      </c>
      <c r="H32" s="91" t="s">
        <v>550</v>
      </c>
      <c r="I32" s="91"/>
      <c r="J32" s="92">
        <v>700</v>
      </c>
      <c r="K32" s="92"/>
      <c r="L32" s="93">
        <v>1500</v>
      </c>
      <c r="M32" s="58"/>
      <c r="N32" s="2"/>
    </row>
    <row r="33" spans="1:14" ht="14.4">
      <c r="A33" s="86">
        <v>45665</v>
      </c>
      <c r="B33" s="87" t="s">
        <v>551</v>
      </c>
      <c r="C33" s="91" t="s">
        <v>552</v>
      </c>
      <c r="D33" s="89" t="s">
        <v>478</v>
      </c>
      <c r="E33" s="90" t="s">
        <v>447</v>
      </c>
      <c r="F33" s="54"/>
      <c r="G33" s="54" t="s">
        <v>56</v>
      </c>
      <c r="H33" s="91" t="s">
        <v>553</v>
      </c>
      <c r="I33" s="91"/>
      <c r="J33" s="92">
        <v>175</v>
      </c>
      <c r="K33" s="92"/>
      <c r="L33" s="93">
        <v>350</v>
      </c>
      <c r="M33" s="58" t="s">
        <v>536</v>
      </c>
      <c r="N33" s="2"/>
    </row>
    <row r="34" spans="1:14" ht="14.4">
      <c r="A34" s="65">
        <v>45666</v>
      </c>
      <c r="B34" s="61" t="s">
        <v>554</v>
      </c>
      <c r="C34" s="39" t="s">
        <v>555</v>
      </c>
      <c r="D34" s="20" t="s">
        <v>446</v>
      </c>
      <c r="E34" s="54" t="s">
        <v>447</v>
      </c>
      <c r="F34" s="54" t="s">
        <v>22</v>
      </c>
      <c r="G34" s="54" t="s">
        <v>23</v>
      </c>
      <c r="H34" s="39" t="s">
        <v>556</v>
      </c>
      <c r="I34" s="39"/>
      <c r="J34" s="44">
        <v>100</v>
      </c>
      <c r="K34" s="44"/>
      <c r="L34" s="63">
        <v>200</v>
      </c>
      <c r="M34" s="58" t="s">
        <v>449</v>
      </c>
      <c r="N34" s="2"/>
    </row>
    <row r="35" spans="1:14" ht="14.4">
      <c r="A35" s="65">
        <v>45666</v>
      </c>
      <c r="B35" s="61" t="s">
        <v>557</v>
      </c>
      <c r="C35" s="62" t="s">
        <v>558</v>
      </c>
      <c r="D35" s="20" t="s">
        <v>502</v>
      </c>
      <c r="E35" s="54" t="s">
        <v>519</v>
      </c>
      <c r="F35" s="54" t="s">
        <v>33</v>
      </c>
      <c r="G35" s="54" t="s">
        <v>23</v>
      </c>
      <c r="H35" s="39" t="s">
        <v>559</v>
      </c>
      <c r="I35" s="39"/>
      <c r="J35" s="44">
        <v>80</v>
      </c>
      <c r="K35" s="44"/>
      <c r="L35" s="63">
        <v>80</v>
      </c>
      <c r="M35" s="58" t="s">
        <v>449</v>
      </c>
      <c r="N35" s="2"/>
    </row>
    <row r="36" spans="1:14" ht="14.4">
      <c r="A36" s="86">
        <v>45668</v>
      </c>
      <c r="B36" s="87" t="s">
        <v>560</v>
      </c>
      <c r="C36" s="91" t="s">
        <v>561</v>
      </c>
      <c r="D36" s="89" t="s">
        <v>446</v>
      </c>
      <c r="E36" s="90" t="s">
        <v>447</v>
      </c>
      <c r="F36" s="54" t="s">
        <v>33</v>
      </c>
      <c r="G36" s="54" t="s">
        <v>23</v>
      </c>
      <c r="H36" s="91" t="s">
        <v>562</v>
      </c>
      <c r="I36" s="91"/>
      <c r="J36" s="92">
        <v>50</v>
      </c>
      <c r="K36" s="92"/>
      <c r="L36" s="93">
        <v>50</v>
      </c>
      <c r="M36" s="58" t="s">
        <v>563</v>
      </c>
      <c r="N36" s="2"/>
    </row>
    <row r="37" spans="1:14" ht="14.4">
      <c r="A37" s="65">
        <v>45670</v>
      </c>
      <c r="B37" s="61" t="s">
        <v>564</v>
      </c>
      <c r="C37" s="39" t="s">
        <v>565</v>
      </c>
      <c r="D37" s="20" t="s">
        <v>502</v>
      </c>
      <c r="E37" s="54" t="s">
        <v>519</v>
      </c>
      <c r="F37" s="54" t="s">
        <v>33</v>
      </c>
      <c r="G37" s="54" t="s">
        <v>23</v>
      </c>
      <c r="H37" s="39" t="s">
        <v>509</v>
      </c>
      <c r="I37" s="39"/>
      <c r="J37" s="44">
        <v>80</v>
      </c>
      <c r="K37" s="44"/>
      <c r="L37" s="63"/>
      <c r="M37" s="64" t="s">
        <v>566</v>
      </c>
      <c r="N37" s="2"/>
    </row>
    <row r="38" spans="1:14" ht="14.4">
      <c r="A38" s="65">
        <v>45670</v>
      </c>
      <c r="B38" s="61" t="s">
        <v>567</v>
      </c>
      <c r="C38" s="39" t="s">
        <v>568</v>
      </c>
      <c r="D38" s="20" t="s">
        <v>453</v>
      </c>
      <c r="E38" s="54"/>
      <c r="F38" s="54" t="s">
        <v>253</v>
      </c>
      <c r="G38" s="54" t="s">
        <v>23</v>
      </c>
      <c r="H38" s="39" t="s">
        <v>569</v>
      </c>
      <c r="I38" s="39"/>
      <c r="J38" s="44">
        <v>144.5</v>
      </c>
      <c r="K38" s="44"/>
      <c r="L38" s="63">
        <v>289</v>
      </c>
      <c r="M38" s="64" t="s">
        <v>480</v>
      </c>
      <c r="N38" s="2"/>
    </row>
    <row r="39" spans="1:14" ht="14.4">
      <c r="A39" s="65">
        <v>45670</v>
      </c>
      <c r="B39" s="61" t="s">
        <v>570</v>
      </c>
      <c r="C39" s="39" t="s">
        <v>571</v>
      </c>
      <c r="D39" s="20" t="s">
        <v>498</v>
      </c>
      <c r="E39" s="54" t="s">
        <v>447</v>
      </c>
      <c r="F39" s="54" t="s">
        <v>22</v>
      </c>
      <c r="G39" s="54" t="s">
        <v>23</v>
      </c>
      <c r="H39" s="39" t="s">
        <v>572</v>
      </c>
      <c r="I39" s="39"/>
      <c r="J39" s="44">
        <v>150</v>
      </c>
      <c r="K39" s="44"/>
      <c r="L39" s="63">
        <v>300</v>
      </c>
      <c r="M39" s="58" t="s">
        <v>449</v>
      </c>
      <c r="N39" s="2"/>
    </row>
    <row r="40" spans="1:14" ht="14.4">
      <c r="A40" s="65">
        <v>45670</v>
      </c>
      <c r="B40" s="61" t="s">
        <v>573</v>
      </c>
      <c r="C40" s="39" t="s">
        <v>574</v>
      </c>
      <c r="D40" s="20" t="s">
        <v>498</v>
      </c>
      <c r="E40" s="54" t="s">
        <v>447</v>
      </c>
      <c r="F40" s="54" t="s">
        <v>22</v>
      </c>
      <c r="G40" s="54" t="s">
        <v>23</v>
      </c>
      <c r="H40" s="39" t="s">
        <v>575</v>
      </c>
      <c r="I40" s="39"/>
      <c r="J40" s="44">
        <v>90</v>
      </c>
      <c r="K40" s="44"/>
      <c r="L40" s="63">
        <v>179</v>
      </c>
      <c r="M40" s="58" t="s">
        <v>449</v>
      </c>
      <c r="N40" s="2"/>
    </row>
    <row r="41" spans="1:14" ht="14.4">
      <c r="A41" s="86">
        <v>45671</v>
      </c>
      <c r="B41" s="87" t="s">
        <v>576</v>
      </c>
      <c r="C41" s="88" t="s">
        <v>577</v>
      </c>
      <c r="D41" s="89" t="s">
        <v>502</v>
      </c>
      <c r="E41" s="90" t="s">
        <v>447</v>
      </c>
      <c r="F41" s="54" t="s">
        <v>252</v>
      </c>
      <c r="G41" s="54" t="s">
        <v>23</v>
      </c>
      <c r="H41" s="91" t="s">
        <v>578</v>
      </c>
      <c r="I41" s="91"/>
      <c r="J41" s="94">
        <v>80</v>
      </c>
      <c r="K41" s="92"/>
      <c r="L41" s="93">
        <v>80</v>
      </c>
      <c r="M41" s="58" t="s">
        <v>449</v>
      </c>
      <c r="N41" s="2"/>
    </row>
    <row r="42" spans="1:14" ht="14.4">
      <c r="A42" s="86">
        <v>45671</v>
      </c>
      <c r="B42" s="87" t="s">
        <v>536</v>
      </c>
      <c r="C42" s="91" t="s">
        <v>579</v>
      </c>
      <c r="D42" s="89" t="s">
        <v>453</v>
      </c>
      <c r="E42" s="90" t="s">
        <v>447</v>
      </c>
      <c r="F42" s="54" t="s">
        <v>252</v>
      </c>
      <c r="G42" s="54" t="s">
        <v>23</v>
      </c>
      <c r="H42" s="91" t="s">
        <v>580</v>
      </c>
      <c r="I42" s="91"/>
      <c r="J42" s="92">
        <v>250</v>
      </c>
      <c r="K42" s="92"/>
      <c r="L42" s="93">
        <v>499</v>
      </c>
      <c r="M42" s="58" t="s">
        <v>449</v>
      </c>
      <c r="N42" s="2"/>
    </row>
    <row r="43" spans="1:14" ht="14.4">
      <c r="A43" s="86">
        <v>45671</v>
      </c>
      <c r="B43" s="87" t="s">
        <v>581</v>
      </c>
      <c r="C43" s="91" t="s">
        <v>582</v>
      </c>
      <c r="D43" s="89" t="s">
        <v>446</v>
      </c>
      <c r="E43" s="90" t="s">
        <v>447</v>
      </c>
      <c r="F43" s="54" t="s">
        <v>252</v>
      </c>
      <c r="G43" s="54" t="s">
        <v>23</v>
      </c>
      <c r="H43" s="91" t="s">
        <v>471</v>
      </c>
      <c r="I43" s="91"/>
      <c r="J43" s="92">
        <v>145</v>
      </c>
      <c r="K43" s="95"/>
      <c r="L43" s="92">
        <v>145</v>
      </c>
      <c r="M43" s="58" t="s">
        <v>449</v>
      </c>
      <c r="N43" s="2"/>
    </row>
    <row r="44" spans="1:14" ht="14.4">
      <c r="A44" s="86">
        <v>45671</v>
      </c>
      <c r="B44" s="87" t="s">
        <v>583</v>
      </c>
      <c r="C44" s="91" t="s">
        <v>584</v>
      </c>
      <c r="D44" s="89" t="s">
        <v>453</v>
      </c>
      <c r="E44" s="90" t="s">
        <v>447</v>
      </c>
      <c r="F44" s="54" t="s">
        <v>252</v>
      </c>
      <c r="G44" s="54" t="s">
        <v>23</v>
      </c>
      <c r="H44" s="91" t="s">
        <v>585</v>
      </c>
      <c r="I44" s="91"/>
      <c r="J44" s="92">
        <v>195</v>
      </c>
      <c r="K44" s="92"/>
      <c r="L44" s="93">
        <v>390</v>
      </c>
      <c r="M44" s="58" t="s">
        <v>449</v>
      </c>
      <c r="N44" s="2"/>
    </row>
    <row r="45" spans="1:14" ht="14.4">
      <c r="A45" s="86">
        <v>45671</v>
      </c>
      <c r="B45" s="87" t="s">
        <v>586</v>
      </c>
      <c r="C45" s="88" t="s">
        <v>587</v>
      </c>
      <c r="D45" s="89" t="s">
        <v>588</v>
      </c>
      <c r="E45" s="90" t="s">
        <v>447</v>
      </c>
      <c r="F45" s="54" t="s">
        <v>487</v>
      </c>
      <c r="G45" s="54" t="s">
        <v>40</v>
      </c>
      <c r="H45" s="91" t="s">
        <v>589</v>
      </c>
      <c r="I45" s="91"/>
      <c r="J45" s="92">
        <v>343.2</v>
      </c>
      <c r="K45" s="92"/>
      <c r="L45" s="93">
        <f>J45*2</f>
        <v>686.4</v>
      </c>
      <c r="M45" s="58" t="s">
        <v>449</v>
      </c>
      <c r="N45" s="2"/>
    </row>
    <row r="46" spans="1:14" ht="14.4">
      <c r="A46" s="86">
        <v>45671</v>
      </c>
      <c r="B46" s="87"/>
      <c r="C46" s="91" t="s">
        <v>590</v>
      </c>
      <c r="D46" s="89" t="s">
        <v>494</v>
      </c>
      <c r="E46" s="90" t="s">
        <v>447</v>
      </c>
      <c r="F46" s="54"/>
      <c r="G46" s="54" t="s">
        <v>25</v>
      </c>
      <c r="H46" s="91" t="s">
        <v>591</v>
      </c>
      <c r="I46" s="91"/>
      <c r="J46" s="92">
        <v>19</v>
      </c>
      <c r="K46" s="92"/>
      <c r="L46" s="93">
        <v>19</v>
      </c>
      <c r="M46" s="58" t="s">
        <v>536</v>
      </c>
      <c r="N46" s="2"/>
    </row>
    <row r="47" spans="1:14" ht="14.4">
      <c r="A47" s="86">
        <v>45671</v>
      </c>
      <c r="B47" s="87" t="s">
        <v>592</v>
      </c>
      <c r="C47" s="91" t="s">
        <v>593</v>
      </c>
      <c r="D47" s="89" t="s">
        <v>478</v>
      </c>
      <c r="E47" s="90" t="s">
        <v>447</v>
      </c>
      <c r="F47" s="54"/>
      <c r="G47" s="54" t="s">
        <v>56</v>
      </c>
      <c r="H47" s="91" t="s">
        <v>594</v>
      </c>
      <c r="I47" s="91"/>
      <c r="J47" s="92">
        <v>150</v>
      </c>
      <c r="K47" s="92"/>
      <c r="L47" s="93">
        <v>150</v>
      </c>
      <c r="M47" s="58" t="s">
        <v>536</v>
      </c>
      <c r="N47" s="2"/>
    </row>
    <row r="48" spans="1:14" ht="14.4">
      <c r="A48" s="86">
        <v>45671</v>
      </c>
      <c r="B48" s="87" t="s">
        <v>595</v>
      </c>
      <c r="C48" s="91" t="s">
        <v>596</v>
      </c>
      <c r="D48" s="89" t="s">
        <v>588</v>
      </c>
      <c r="E48" s="90" t="s">
        <v>447</v>
      </c>
      <c r="F48" s="54" t="s">
        <v>487</v>
      </c>
      <c r="G48" s="54" t="s">
        <v>40</v>
      </c>
      <c r="H48" s="91" t="s">
        <v>597</v>
      </c>
      <c r="I48" s="91"/>
      <c r="J48" s="92">
        <v>629</v>
      </c>
      <c r="K48" s="92"/>
      <c r="L48" s="93">
        <v>629</v>
      </c>
      <c r="M48" s="58" t="s">
        <v>536</v>
      </c>
      <c r="N48" s="2"/>
    </row>
    <row r="49" spans="1:14" ht="14.4">
      <c r="A49" s="86">
        <v>45671</v>
      </c>
      <c r="B49" s="87" t="s">
        <v>598</v>
      </c>
      <c r="C49" s="91" t="s">
        <v>599</v>
      </c>
      <c r="D49" s="89" t="s">
        <v>483</v>
      </c>
      <c r="E49" s="90" t="s">
        <v>447</v>
      </c>
      <c r="F49" s="54" t="s">
        <v>463</v>
      </c>
      <c r="G49" s="54" t="s">
        <v>40</v>
      </c>
      <c r="H49" s="91" t="s">
        <v>484</v>
      </c>
      <c r="I49" s="91"/>
      <c r="J49" s="92">
        <v>190</v>
      </c>
      <c r="K49" s="92"/>
      <c r="L49" s="93">
        <v>190</v>
      </c>
      <c r="M49" s="58" t="s">
        <v>536</v>
      </c>
      <c r="N49" s="2"/>
    </row>
    <row r="50" spans="1:14" ht="14.4">
      <c r="A50" s="86">
        <v>45671</v>
      </c>
      <c r="B50" s="87" t="s">
        <v>600</v>
      </c>
      <c r="C50" s="88" t="s">
        <v>601</v>
      </c>
      <c r="D50" s="89" t="s">
        <v>530</v>
      </c>
      <c r="E50" s="90" t="s">
        <v>447</v>
      </c>
      <c r="F50" s="54" t="s">
        <v>463</v>
      </c>
      <c r="G50" s="54" t="s">
        <v>40</v>
      </c>
      <c r="H50" s="91" t="s">
        <v>531</v>
      </c>
      <c r="I50" s="91"/>
      <c r="J50" s="92">
        <v>220</v>
      </c>
      <c r="K50" s="92"/>
      <c r="L50" s="93">
        <v>220</v>
      </c>
      <c r="M50" s="64" t="s">
        <v>480</v>
      </c>
      <c r="N50" s="2"/>
    </row>
    <row r="51" spans="1:14" ht="14.4">
      <c r="A51" s="65">
        <v>45672</v>
      </c>
      <c r="B51" s="61" t="s">
        <v>602</v>
      </c>
      <c r="C51" s="39" t="s">
        <v>603</v>
      </c>
      <c r="D51" s="20" t="s">
        <v>453</v>
      </c>
      <c r="E51" s="54" t="s">
        <v>447</v>
      </c>
      <c r="F51" s="54" t="s">
        <v>252</v>
      </c>
      <c r="G51" s="54" t="s">
        <v>23</v>
      </c>
      <c r="H51" s="39" t="s">
        <v>604</v>
      </c>
      <c r="I51" s="39"/>
      <c r="J51" s="44">
        <v>195</v>
      </c>
      <c r="K51" s="44"/>
      <c r="L51" s="63">
        <v>390</v>
      </c>
      <c r="M51" s="58" t="s">
        <v>449</v>
      </c>
      <c r="N51" s="2"/>
    </row>
    <row r="52" spans="1:14" ht="14.4">
      <c r="A52" s="65">
        <v>45672</v>
      </c>
      <c r="B52" s="61" t="s">
        <v>605</v>
      </c>
      <c r="C52" s="39" t="s">
        <v>606</v>
      </c>
      <c r="D52" s="20" t="s">
        <v>446</v>
      </c>
      <c r="E52" s="54"/>
      <c r="F52" s="54" t="s">
        <v>252</v>
      </c>
      <c r="G52" s="54" t="s">
        <v>23</v>
      </c>
      <c r="H52" s="39" t="s">
        <v>471</v>
      </c>
      <c r="I52" s="39"/>
      <c r="J52" s="44">
        <v>75</v>
      </c>
      <c r="K52" s="44"/>
      <c r="L52" s="63"/>
      <c r="M52" s="64" t="s">
        <v>480</v>
      </c>
      <c r="N52" s="2"/>
    </row>
    <row r="53" spans="1:14" ht="14.4">
      <c r="A53" s="65">
        <v>45672</v>
      </c>
      <c r="B53" s="61" t="s">
        <v>607</v>
      </c>
      <c r="C53" s="39" t="s">
        <v>608</v>
      </c>
      <c r="D53" s="20" t="s">
        <v>446</v>
      </c>
      <c r="E53" s="54" t="s">
        <v>447</v>
      </c>
      <c r="F53" s="54" t="s">
        <v>33</v>
      </c>
      <c r="G53" s="54" t="s">
        <v>23</v>
      </c>
      <c r="H53" s="39" t="s">
        <v>609</v>
      </c>
      <c r="I53" s="39"/>
      <c r="J53" s="96">
        <v>80</v>
      </c>
      <c r="K53" s="44"/>
      <c r="L53" s="97">
        <v>80</v>
      </c>
      <c r="M53" s="58" t="s">
        <v>449</v>
      </c>
      <c r="N53" s="2"/>
    </row>
    <row r="54" spans="1:14" ht="14.4">
      <c r="A54" s="86">
        <v>45673</v>
      </c>
      <c r="B54" s="87" t="s">
        <v>610</v>
      </c>
      <c r="C54" s="91" t="s">
        <v>611</v>
      </c>
      <c r="D54" s="89" t="s">
        <v>483</v>
      </c>
      <c r="E54" s="90"/>
      <c r="F54" s="54" t="s">
        <v>487</v>
      </c>
      <c r="G54" s="54" t="s">
        <v>40</v>
      </c>
      <c r="H54" s="91" t="s">
        <v>612</v>
      </c>
      <c r="I54" s="91"/>
      <c r="J54" s="92">
        <v>1905.05</v>
      </c>
      <c r="K54" s="92"/>
      <c r="L54" s="93">
        <v>2089.5</v>
      </c>
      <c r="M54" s="64" t="s">
        <v>480</v>
      </c>
      <c r="N54" s="2" t="s">
        <v>14</v>
      </c>
    </row>
    <row r="55" spans="1:14" ht="14.4">
      <c r="A55" s="86">
        <v>45673</v>
      </c>
      <c r="B55" s="87" t="s">
        <v>613</v>
      </c>
      <c r="C55" s="91" t="s">
        <v>614</v>
      </c>
      <c r="D55" s="89" t="s">
        <v>498</v>
      </c>
      <c r="E55" s="90" t="s">
        <v>447</v>
      </c>
      <c r="F55" s="54" t="s">
        <v>253</v>
      </c>
      <c r="G55" s="54" t="s">
        <v>23</v>
      </c>
      <c r="H55" s="91" t="s">
        <v>615</v>
      </c>
      <c r="I55" s="91"/>
      <c r="J55" s="92">
        <v>146.91</v>
      </c>
      <c r="K55" s="92"/>
      <c r="L55" s="93">
        <v>249</v>
      </c>
      <c r="M55" s="58" t="s">
        <v>449</v>
      </c>
      <c r="N55" s="2"/>
    </row>
    <row r="56" spans="1:14" ht="14.4">
      <c r="A56" s="86">
        <v>45673</v>
      </c>
      <c r="B56" s="87" t="s">
        <v>616</v>
      </c>
      <c r="C56" s="88" t="s">
        <v>617</v>
      </c>
      <c r="D56" s="89" t="s">
        <v>453</v>
      </c>
      <c r="E56" s="90" t="s">
        <v>447</v>
      </c>
      <c r="F56" s="54" t="s">
        <v>252</v>
      </c>
      <c r="G56" s="54" t="s">
        <v>23</v>
      </c>
      <c r="H56" s="91" t="s">
        <v>503</v>
      </c>
      <c r="I56" s="91"/>
      <c r="J56" s="92">
        <v>80</v>
      </c>
      <c r="K56" s="92"/>
      <c r="L56" s="93">
        <v>80</v>
      </c>
      <c r="M56" s="58" t="s">
        <v>449</v>
      </c>
      <c r="N56" s="2"/>
    </row>
    <row r="57" spans="1:14" ht="14.4">
      <c r="A57" s="65">
        <v>45674</v>
      </c>
      <c r="B57" s="61" t="s">
        <v>618</v>
      </c>
      <c r="C57" s="39" t="s">
        <v>619</v>
      </c>
      <c r="D57" s="20" t="s">
        <v>588</v>
      </c>
      <c r="E57" s="54" t="s">
        <v>447</v>
      </c>
      <c r="F57" s="54" t="s">
        <v>463</v>
      </c>
      <c r="G57" s="54" t="s">
        <v>40</v>
      </c>
      <c r="H57" s="39" t="s">
        <v>620</v>
      </c>
      <c r="I57" s="39"/>
      <c r="J57" s="44">
        <v>150</v>
      </c>
      <c r="K57" s="44"/>
      <c r="L57" s="63">
        <v>150</v>
      </c>
      <c r="M57" s="64" t="s">
        <v>536</v>
      </c>
      <c r="N57" s="2" t="s">
        <v>14</v>
      </c>
    </row>
    <row r="58" spans="1:14" ht="14.4">
      <c r="A58" s="65">
        <v>45674</v>
      </c>
      <c r="B58" s="61" t="s">
        <v>621</v>
      </c>
      <c r="C58" s="39" t="s">
        <v>622</v>
      </c>
      <c r="D58" s="20" t="s">
        <v>446</v>
      </c>
      <c r="E58" s="54" t="s">
        <v>447</v>
      </c>
      <c r="F58" s="54" t="s">
        <v>252</v>
      </c>
      <c r="G58" s="54" t="s">
        <v>23</v>
      </c>
      <c r="H58" s="39" t="s">
        <v>623</v>
      </c>
      <c r="I58" s="39"/>
      <c r="J58" s="44">
        <v>80</v>
      </c>
      <c r="K58" s="44"/>
      <c r="L58" s="63">
        <v>80</v>
      </c>
      <c r="M58" s="58" t="s">
        <v>449</v>
      </c>
      <c r="N58" s="2"/>
    </row>
    <row r="59" spans="1:14" ht="14.4">
      <c r="A59" s="86">
        <v>45677</v>
      </c>
      <c r="B59" s="87" t="s">
        <v>624</v>
      </c>
      <c r="C59" s="91" t="s">
        <v>461</v>
      </c>
      <c r="D59" s="89" t="s">
        <v>462</v>
      </c>
      <c r="E59" s="90"/>
      <c r="F59" s="54" t="s">
        <v>463</v>
      </c>
      <c r="G59" s="54" t="s">
        <v>40</v>
      </c>
      <c r="H59" s="91" t="s">
        <v>625</v>
      </c>
      <c r="I59" s="91"/>
      <c r="J59" s="92">
        <v>300</v>
      </c>
      <c r="K59" s="92"/>
      <c r="L59" s="93">
        <v>300</v>
      </c>
      <c r="M59" s="64" t="s">
        <v>480</v>
      </c>
      <c r="N59" s="2"/>
    </row>
    <row r="60" spans="1:14" ht="14.4">
      <c r="A60" s="86">
        <v>45677</v>
      </c>
      <c r="B60" s="87" t="s">
        <v>626</v>
      </c>
      <c r="C60" s="91" t="s">
        <v>627</v>
      </c>
      <c r="D60" s="89" t="s">
        <v>453</v>
      </c>
      <c r="E60" s="90" t="s">
        <v>519</v>
      </c>
      <c r="F60" s="54" t="s">
        <v>252</v>
      </c>
      <c r="G60" s="54" t="s">
        <v>23</v>
      </c>
      <c r="H60" s="91" t="s">
        <v>628</v>
      </c>
      <c r="I60" s="91"/>
      <c r="J60" s="92">
        <v>1000</v>
      </c>
      <c r="K60" s="92"/>
      <c r="L60" s="93">
        <v>1990</v>
      </c>
      <c r="M60" s="58" t="s">
        <v>449</v>
      </c>
      <c r="N60" s="2"/>
    </row>
    <row r="61" spans="1:14" ht="14.4">
      <c r="A61" s="86">
        <v>45677</v>
      </c>
      <c r="B61" s="87" t="s">
        <v>629</v>
      </c>
      <c r="C61" s="91" t="s">
        <v>630</v>
      </c>
      <c r="D61" s="89" t="s">
        <v>498</v>
      </c>
      <c r="E61" s="90" t="s">
        <v>519</v>
      </c>
      <c r="F61" s="54" t="s">
        <v>22</v>
      </c>
      <c r="G61" s="54" t="s">
        <v>23</v>
      </c>
      <c r="H61" s="91" t="s">
        <v>631</v>
      </c>
      <c r="I61" s="91"/>
      <c r="J61" s="92">
        <v>100</v>
      </c>
      <c r="K61" s="92"/>
      <c r="L61" s="93">
        <v>199</v>
      </c>
      <c r="M61" s="58" t="s">
        <v>449</v>
      </c>
      <c r="N61" s="2"/>
    </row>
    <row r="62" spans="1:14" ht="18" customHeight="1">
      <c r="A62" s="86">
        <v>45677</v>
      </c>
      <c r="B62" s="87" t="s">
        <v>632</v>
      </c>
      <c r="C62" s="91" t="s">
        <v>633</v>
      </c>
      <c r="D62" s="89" t="s">
        <v>494</v>
      </c>
      <c r="E62" s="90" t="s">
        <v>519</v>
      </c>
      <c r="F62" s="54"/>
      <c r="G62" s="54" t="s">
        <v>25</v>
      </c>
      <c r="H62" s="91" t="s">
        <v>634</v>
      </c>
      <c r="I62" s="91"/>
      <c r="J62" s="92">
        <v>300</v>
      </c>
      <c r="K62" s="92"/>
      <c r="L62" s="93">
        <v>300</v>
      </c>
      <c r="M62" s="58" t="s">
        <v>449</v>
      </c>
      <c r="N62" s="2"/>
    </row>
    <row r="63" spans="1:14" ht="14.4">
      <c r="A63" s="86">
        <v>45677</v>
      </c>
      <c r="B63" s="87" t="s">
        <v>600</v>
      </c>
      <c r="C63" s="88" t="s">
        <v>601</v>
      </c>
      <c r="D63" s="89" t="s">
        <v>530</v>
      </c>
      <c r="E63" s="90" t="s">
        <v>447</v>
      </c>
      <c r="F63" s="54" t="s">
        <v>463</v>
      </c>
      <c r="G63" s="54" t="s">
        <v>40</v>
      </c>
      <c r="H63" s="91" t="s">
        <v>531</v>
      </c>
      <c r="I63" s="91"/>
      <c r="J63" s="92">
        <v>110</v>
      </c>
      <c r="K63" s="92"/>
      <c r="L63" s="93">
        <v>110</v>
      </c>
      <c r="M63" s="58" t="s">
        <v>635</v>
      </c>
      <c r="N63" s="2"/>
    </row>
    <row r="64" spans="1:14" ht="14.4">
      <c r="A64" s="86">
        <v>45677</v>
      </c>
      <c r="B64" s="87" t="s">
        <v>636</v>
      </c>
      <c r="C64" s="91" t="s">
        <v>637</v>
      </c>
      <c r="D64" s="89" t="s">
        <v>446</v>
      </c>
      <c r="E64" s="90" t="s">
        <v>447</v>
      </c>
      <c r="F64" s="54" t="s">
        <v>252</v>
      </c>
      <c r="G64" s="54" t="s">
        <v>23</v>
      </c>
      <c r="H64" s="91" t="s">
        <v>503</v>
      </c>
      <c r="I64" s="91"/>
      <c r="J64" s="92">
        <v>80</v>
      </c>
      <c r="K64" s="92"/>
      <c r="L64" s="93">
        <v>80</v>
      </c>
      <c r="M64" s="58" t="s">
        <v>449</v>
      </c>
      <c r="N64" s="2"/>
    </row>
    <row r="65" spans="1:14" ht="14.4">
      <c r="A65" s="86">
        <v>45677</v>
      </c>
      <c r="B65" s="87" t="s">
        <v>638</v>
      </c>
      <c r="C65" s="91" t="s">
        <v>639</v>
      </c>
      <c r="D65" s="89" t="s">
        <v>462</v>
      </c>
      <c r="E65" s="90" t="s">
        <v>447</v>
      </c>
      <c r="F65" s="54" t="s">
        <v>487</v>
      </c>
      <c r="G65" s="54" t="s">
        <v>40</v>
      </c>
      <c r="H65" s="91" t="s">
        <v>640</v>
      </c>
      <c r="I65" s="91"/>
      <c r="J65" s="92">
        <v>729</v>
      </c>
      <c r="K65" s="92"/>
      <c r="L65" s="93">
        <v>729</v>
      </c>
      <c r="M65" s="58" t="s">
        <v>449</v>
      </c>
      <c r="N65" s="2"/>
    </row>
    <row r="66" spans="1:14" ht="14.4">
      <c r="A66" s="86">
        <v>45677</v>
      </c>
      <c r="B66" s="87" t="s">
        <v>641</v>
      </c>
      <c r="C66" s="91" t="s">
        <v>642</v>
      </c>
      <c r="D66" s="89" t="s">
        <v>462</v>
      </c>
      <c r="E66" s="90" t="s">
        <v>447</v>
      </c>
      <c r="F66" s="54" t="s">
        <v>463</v>
      </c>
      <c r="G66" s="54" t="s">
        <v>40</v>
      </c>
      <c r="H66" s="91" t="s">
        <v>643</v>
      </c>
      <c r="I66" s="91"/>
      <c r="J66" s="92">
        <v>170</v>
      </c>
      <c r="K66" s="92"/>
      <c r="L66" s="93">
        <v>170</v>
      </c>
      <c r="M66" s="58" t="s">
        <v>449</v>
      </c>
      <c r="N66" s="2"/>
    </row>
    <row r="67" spans="1:14" ht="14.4">
      <c r="A67" s="65">
        <v>45678</v>
      </c>
      <c r="B67" s="61" t="s">
        <v>618</v>
      </c>
      <c r="C67" s="39"/>
      <c r="D67" s="20" t="s">
        <v>588</v>
      </c>
      <c r="E67" s="54"/>
      <c r="F67" s="54" t="s">
        <v>487</v>
      </c>
      <c r="G67" s="54" t="s">
        <v>40</v>
      </c>
      <c r="H67" s="39" t="s">
        <v>644</v>
      </c>
      <c r="I67" s="39"/>
      <c r="J67" s="44">
        <v>1000</v>
      </c>
      <c r="K67" s="44"/>
      <c r="L67" s="63">
        <v>2.0369999999999999</v>
      </c>
      <c r="M67" s="98" t="s">
        <v>645</v>
      </c>
      <c r="N67" s="2"/>
    </row>
    <row r="68" spans="1:14" ht="14.4">
      <c r="A68" s="65">
        <v>45678</v>
      </c>
      <c r="B68" s="61" t="s">
        <v>646</v>
      </c>
      <c r="C68" s="39" t="s">
        <v>647</v>
      </c>
      <c r="D68" s="20" t="s">
        <v>483</v>
      </c>
      <c r="E68" s="54" t="s">
        <v>447</v>
      </c>
      <c r="F68" s="54" t="s">
        <v>487</v>
      </c>
      <c r="G68" s="54" t="s">
        <v>40</v>
      </c>
      <c r="H68" s="39" t="s">
        <v>648</v>
      </c>
      <c r="I68" s="39"/>
      <c r="J68" s="44">
        <v>760</v>
      </c>
      <c r="K68" s="44"/>
      <c r="L68" s="63">
        <v>760</v>
      </c>
      <c r="M68" s="98" t="s">
        <v>645</v>
      </c>
      <c r="N68" s="2"/>
    </row>
    <row r="69" spans="1:14" ht="14.4">
      <c r="A69" s="65">
        <v>45678</v>
      </c>
      <c r="B69" s="61" t="s">
        <v>649</v>
      </c>
      <c r="C69" s="39" t="s">
        <v>650</v>
      </c>
      <c r="D69" s="20" t="s">
        <v>502</v>
      </c>
      <c r="E69" s="54" t="s">
        <v>447</v>
      </c>
      <c r="F69" s="54" t="s">
        <v>33</v>
      </c>
      <c r="G69" s="54" t="s">
        <v>23</v>
      </c>
      <c r="H69" s="39" t="s">
        <v>651</v>
      </c>
      <c r="I69" s="39"/>
      <c r="J69" s="44">
        <v>80</v>
      </c>
      <c r="K69" s="44"/>
      <c r="L69" s="63">
        <v>80</v>
      </c>
      <c r="M69" s="64" t="s">
        <v>652</v>
      </c>
      <c r="N69" s="2"/>
    </row>
    <row r="70" spans="1:14" ht="14.4">
      <c r="A70" s="65">
        <v>45678</v>
      </c>
      <c r="B70" s="61" t="s">
        <v>653</v>
      </c>
      <c r="C70" s="39" t="s">
        <v>654</v>
      </c>
      <c r="D70" s="20" t="s">
        <v>498</v>
      </c>
      <c r="E70" s="54" t="s">
        <v>447</v>
      </c>
      <c r="F70" s="54" t="s">
        <v>253</v>
      </c>
      <c r="G70" s="54" t="s">
        <v>23</v>
      </c>
      <c r="H70" s="39" t="s">
        <v>655</v>
      </c>
      <c r="I70" s="39"/>
      <c r="J70" s="44">
        <v>150</v>
      </c>
      <c r="K70" s="44"/>
      <c r="L70" s="63">
        <v>299</v>
      </c>
      <c r="M70" s="64" t="s">
        <v>652</v>
      </c>
      <c r="N70" s="2"/>
    </row>
    <row r="71" spans="1:14" ht="14.4">
      <c r="A71" s="65">
        <v>45678</v>
      </c>
      <c r="B71" s="61" t="s">
        <v>656</v>
      </c>
      <c r="C71" s="39" t="s">
        <v>657</v>
      </c>
      <c r="D71" s="20" t="s">
        <v>498</v>
      </c>
      <c r="E71" s="54" t="s">
        <v>447</v>
      </c>
      <c r="F71" s="54" t="s">
        <v>253</v>
      </c>
      <c r="G71" s="54" t="s">
        <v>23</v>
      </c>
      <c r="H71" s="39" t="s">
        <v>658</v>
      </c>
      <c r="I71" s="39"/>
      <c r="J71" s="44">
        <v>129.5</v>
      </c>
      <c r="K71" s="44"/>
      <c r="L71" s="63">
        <v>269</v>
      </c>
      <c r="M71" s="64" t="s">
        <v>659</v>
      </c>
      <c r="N71" s="2"/>
    </row>
    <row r="72" spans="1:14" ht="14.4">
      <c r="A72" s="65">
        <v>45678</v>
      </c>
      <c r="B72" s="61" t="s">
        <v>598</v>
      </c>
      <c r="C72" s="39" t="s">
        <v>660</v>
      </c>
      <c r="D72" s="20" t="s">
        <v>483</v>
      </c>
      <c r="E72" s="54"/>
      <c r="F72" s="54" t="s">
        <v>487</v>
      </c>
      <c r="G72" s="54" t="s">
        <v>40</v>
      </c>
      <c r="H72" s="39" t="s">
        <v>661</v>
      </c>
      <c r="I72" s="39"/>
      <c r="J72" s="44">
        <v>2607</v>
      </c>
      <c r="K72" s="44"/>
      <c r="L72" s="63">
        <v>2607</v>
      </c>
      <c r="M72" s="98" t="s">
        <v>645</v>
      </c>
      <c r="N72" s="2"/>
    </row>
    <row r="73" spans="1:14" ht="14.4">
      <c r="A73" s="86">
        <v>45680</v>
      </c>
      <c r="B73" s="87" t="s">
        <v>662</v>
      </c>
      <c r="C73" s="91" t="s">
        <v>663</v>
      </c>
      <c r="D73" s="89" t="s">
        <v>446</v>
      </c>
      <c r="E73" s="90" t="s">
        <v>447</v>
      </c>
      <c r="F73" s="54" t="s">
        <v>253</v>
      </c>
      <c r="G73" s="54" t="s">
        <v>23</v>
      </c>
      <c r="H73" s="91" t="s">
        <v>569</v>
      </c>
      <c r="I73" s="91"/>
      <c r="J73" s="92">
        <v>120</v>
      </c>
      <c r="K73" s="92"/>
      <c r="L73" s="93">
        <v>230</v>
      </c>
      <c r="M73" s="58" t="s">
        <v>449</v>
      </c>
      <c r="N73" s="2"/>
    </row>
    <row r="74" spans="1:14" ht="14.4">
      <c r="A74" s="86">
        <v>45314</v>
      </c>
      <c r="B74" s="87" t="s">
        <v>664</v>
      </c>
      <c r="C74" s="91" t="s">
        <v>665</v>
      </c>
      <c r="D74" s="89" t="s">
        <v>453</v>
      </c>
      <c r="E74" s="90"/>
      <c r="F74" s="54"/>
      <c r="G74" s="54" t="s">
        <v>23</v>
      </c>
      <c r="H74" s="91"/>
      <c r="I74" s="91"/>
      <c r="J74" s="92">
        <v>80</v>
      </c>
      <c r="K74" s="92"/>
      <c r="L74" s="93">
        <v>80</v>
      </c>
      <c r="M74" s="64" t="s">
        <v>480</v>
      </c>
      <c r="N74" s="2"/>
    </row>
    <row r="75" spans="1:14" ht="14.4">
      <c r="A75" s="86">
        <v>45314</v>
      </c>
      <c r="B75" s="87" t="s">
        <v>600</v>
      </c>
      <c r="C75" s="91" t="s">
        <v>601</v>
      </c>
      <c r="D75" s="89" t="s">
        <v>530</v>
      </c>
      <c r="E75" s="90"/>
      <c r="F75" s="54" t="s">
        <v>463</v>
      </c>
      <c r="G75" s="54" t="s">
        <v>40</v>
      </c>
      <c r="H75" s="91" t="s">
        <v>666</v>
      </c>
      <c r="I75" s="91"/>
      <c r="J75" s="92">
        <v>110</v>
      </c>
      <c r="K75" s="92"/>
      <c r="L75" s="93">
        <v>110</v>
      </c>
      <c r="M75" s="64" t="s">
        <v>480</v>
      </c>
      <c r="N75" s="2"/>
    </row>
    <row r="76" spans="1:14" ht="14.4">
      <c r="A76" s="86">
        <v>45314</v>
      </c>
      <c r="B76" s="87" t="s">
        <v>667</v>
      </c>
      <c r="C76" s="91" t="s">
        <v>668</v>
      </c>
      <c r="D76" s="89" t="s">
        <v>588</v>
      </c>
      <c r="E76" s="90" t="s">
        <v>447</v>
      </c>
      <c r="F76" s="54" t="s">
        <v>463</v>
      </c>
      <c r="G76" s="54" t="s">
        <v>40</v>
      </c>
      <c r="H76" s="91" t="s">
        <v>669</v>
      </c>
      <c r="I76" s="91"/>
      <c r="J76" s="92">
        <v>130</v>
      </c>
      <c r="K76" s="92"/>
      <c r="L76" s="93">
        <v>130</v>
      </c>
      <c r="M76" s="98" t="s">
        <v>645</v>
      </c>
      <c r="N76" s="2"/>
    </row>
    <row r="77" spans="1:14" ht="14.4">
      <c r="A77" s="86">
        <v>45314</v>
      </c>
      <c r="B77" s="87" t="s">
        <v>670</v>
      </c>
      <c r="C77" s="91" t="s">
        <v>671</v>
      </c>
      <c r="D77" s="89" t="s">
        <v>588</v>
      </c>
      <c r="E77" s="90" t="s">
        <v>447</v>
      </c>
      <c r="F77" s="54" t="s">
        <v>487</v>
      </c>
      <c r="G77" s="54" t="s">
        <v>40</v>
      </c>
      <c r="H77" s="91" t="s">
        <v>672</v>
      </c>
      <c r="I77" s="91"/>
      <c r="J77" s="92">
        <v>449</v>
      </c>
      <c r="K77" s="92"/>
      <c r="L77" s="93">
        <v>449</v>
      </c>
      <c r="M77" s="98" t="s">
        <v>645</v>
      </c>
      <c r="N77" s="2"/>
    </row>
    <row r="78" spans="1:14" ht="14.4">
      <c r="A78" s="65">
        <v>45681</v>
      </c>
      <c r="B78" s="61" t="s">
        <v>673</v>
      </c>
      <c r="C78" s="39" t="s">
        <v>674</v>
      </c>
      <c r="D78" s="20" t="s">
        <v>453</v>
      </c>
      <c r="E78" s="54" t="s">
        <v>447</v>
      </c>
      <c r="F78" s="54" t="s">
        <v>253</v>
      </c>
      <c r="G78" s="54" t="s">
        <v>23</v>
      </c>
      <c r="H78" s="39" t="s">
        <v>628</v>
      </c>
      <c r="I78" s="39"/>
      <c r="J78" s="44">
        <v>1350</v>
      </c>
      <c r="K78" s="44"/>
      <c r="L78" s="63">
        <v>2690</v>
      </c>
      <c r="M78" s="58" t="s">
        <v>449</v>
      </c>
      <c r="N78" s="2"/>
    </row>
    <row r="79" spans="1:14" ht="14.4">
      <c r="A79" s="65">
        <v>45681</v>
      </c>
      <c r="B79" s="61" t="s">
        <v>675</v>
      </c>
      <c r="C79" s="39" t="s">
        <v>676</v>
      </c>
      <c r="D79" s="20" t="s">
        <v>588</v>
      </c>
      <c r="E79" s="54" t="s">
        <v>447</v>
      </c>
      <c r="F79" s="54" t="s">
        <v>463</v>
      </c>
      <c r="G79" s="54" t="s">
        <v>40</v>
      </c>
      <c r="H79" s="39" t="s">
        <v>677</v>
      </c>
      <c r="I79" s="39"/>
      <c r="J79" s="44">
        <v>110</v>
      </c>
      <c r="K79" s="44"/>
      <c r="L79" s="63">
        <v>110</v>
      </c>
      <c r="M79" s="58" t="s">
        <v>449</v>
      </c>
      <c r="N79" s="2"/>
    </row>
    <row r="80" spans="1:14" ht="14.4">
      <c r="A80" s="65">
        <v>45681</v>
      </c>
      <c r="B80" s="61" t="s">
        <v>678</v>
      </c>
      <c r="C80" s="39" t="s">
        <v>679</v>
      </c>
      <c r="D80" s="20" t="s">
        <v>446</v>
      </c>
      <c r="E80" s="54" t="s">
        <v>447</v>
      </c>
      <c r="F80" s="54" t="s">
        <v>22</v>
      </c>
      <c r="G80" s="54" t="s">
        <v>23</v>
      </c>
      <c r="H80" s="39" t="s">
        <v>680</v>
      </c>
      <c r="I80" s="39"/>
      <c r="J80" s="44">
        <v>170</v>
      </c>
      <c r="K80" s="44"/>
      <c r="L80" s="63">
        <v>339</v>
      </c>
      <c r="M80" s="58" t="s">
        <v>449</v>
      </c>
      <c r="N80" s="2"/>
    </row>
    <row r="81" spans="1:14" ht="14.4">
      <c r="A81" s="65">
        <v>45681</v>
      </c>
      <c r="B81" s="61" t="s">
        <v>681</v>
      </c>
      <c r="C81" s="39" t="s">
        <v>682</v>
      </c>
      <c r="D81" s="20" t="s">
        <v>478</v>
      </c>
      <c r="E81" s="54" t="s">
        <v>447</v>
      </c>
      <c r="F81" s="54"/>
      <c r="G81" s="54" t="s">
        <v>56</v>
      </c>
      <c r="H81" s="39" t="s">
        <v>683</v>
      </c>
      <c r="I81" s="39"/>
      <c r="J81" s="44">
        <v>390</v>
      </c>
      <c r="K81" s="44"/>
      <c r="L81" s="63">
        <v>390</v>
      </c>
      <c r="M81" s="98" t="s">
        <v>645</v>
      </c>
      <c r="N81" s="2"/>
    </row>
    <row r="82" spans="1:14" ht="14.4">
      <c r="A82" s="65">
        <v>45681</v>
      </c>
      <c r="B82" s="61" t="s">
        <v>684</v>
      </c>
      <c r="C82" s="39" t="s">
        <v>685</v>
      </c>
      <c r="D82" s="20" t="s">
        <v>478</v>
      </c>
      <c r="E82" s="54" t="s">
        <v>447</v>
      </c>
      <c r="F82" s="54"/>
      <c r="G82" s="54" t="s">
        <v>56</v>
      </c>
      <c r="H82" s="39" t="s">
        <v>594</v>
      </c>
      <c r="I82" s="39"/>
      <c r="J82" s="44">
        <v>99</v>
      </c>
      <c r="K82" s="44"/>
      <c r="L82" s="63">
        <v>99</v>
      </c>
      <c r="M82" s="98" t="s">
        <v>645</v>
      </c>
      <c r="N82" s="2"/>
    </row>
    <row r="83" spans="1:14" ht="14.4">
      <c r="A83" s="99">
        <v>45681</v>
      </c>
      <c r="B83" s="100" t="s">
        <v>686</v>
      </c>
      <c r="C83" s="101" t="s">
        <v>687</v>
      </c>
      <c r="D83" s="102" t="s">
        <v>478</v>
      </c>
      <c r="E83" s="103" t="s">
        <v>447</v>
      </c>
      <c r="F83" s="54"/>
      <c r="G83" s="54" t="s">
        <v>56</v>
      </c>
      <c r="H83" s="101" t="s">
        <v>688</v>
      </c>
      <c r="I83" s="101"/>
      <c r="J83" s="104">
        <v>945</v>
      </c>
      <c r="K83" s="104"/>
      <c r="L83" s="105">
        <v>1890</v>
      </c>
      <c r="M83" s="106" t="s">
        <v>645</v>
      </c>
      <c r="N83" s="2"/>
    </row>
    <row r="84" spans="1:14" ht="14.4">
      <c r="A84" s="65">
        <v>45681</v>
      </c>
      <c r="B84" s="61" t="s">
        <v>689</v>
      </c>
      <c r="C84" s="39" t="s">
        <v>690</v>
      </c>
      <c r="D84" s="20" t="s">
        <v>478</v>
      </c>
      <c r="E84" s="54" t="s">
        <v>447</v>
      </c>
      <c r="F84" s="54"/>
      <c r="G84" s="54" t="s">
        <v>56</v>
      </c>
      <c r="H84" s="39" t="s">
        <v>683</v>
      </c>
      <c r="I84" s="39"/>
      <c r="J84" s="44">
        <v>150</v>
      </c>
      <c r="K84" s="44"/>
      <c r="L84" s="63">
        <v>290</v>
      </c>
      <c r="M84" s="98" t="s">
        <v>645</v>
      </c>
      <c r="N84" s="2"/>
    </row>
    <row r="85" spans="1:14" ht="14.4">
      <c r="A85" s="65">
        <v>45681</v>
      </c>
      <c r="B85" s="61" t="s">
        <v>691</v>
      </c>
      <c r="C85" s="39" t="s">
        <v>665</v>
      </c>
      <c r="D85" s="20" t="s">
        <v>453</v>
      </c>
      <c r="E85" s="54"/>
      <c r="F85" s="54" t="s">
        <v>33</v>
      </c>
      <c r="G85" s="54" t="s">
        <v>23</v>
      </c>
      <c r="H85" s="39" t="s">
        <v>692</v>
      </c>
      <c r="I85" s="39"/>
      <c r="J85" s="44">
        <v>2716</v>
      </c>
      <c r="K85" s="44"/>
      <c r="L85" s="63">
        <v>3880</v>
      </c>
      <c r="M85" s="64" t="s">
        <v>480</v>
      </c>
      <c r="N85" s="2"/>
    </row>
    <row r="86" spans="1:14" ht="14.4">
      <c r="A86" s="65">
        <v>45681</v>
      </c>
      <c r="B86" s="61" t="s">
        <v>693</v>
      </c>
      <c r="C86" s="39" t="s">
        <v>694</v>
      </c>
      <c r="D86" s="20" t="s">
        <v>446</v>
      </c>
      <c r="E86" s="54" t="s">
        <v>447</v>
      </c>
      <c r="F86" s="54" t="s">
        <v>252</v>
      </c>
      <c r="G86" s="54" t="s">
        <v>23</v>
      </c>
      <c r="H86" s="39" t="s">
        <v>695</v>
      </c>
      <c r="I86" s="39"/>
      <c r="J86" s="44">
        <v>164.5</v>
      </c>
      <c r="K86" s="44"/>
      <c r="L86" s="63">
        <v>329</v>
      </c>
      <c r="M86" s="58" t="s">
        <v>449</v>
      </c>
      <c r="N86" s="2"/>
    </row>
    <row r="87" spans="1:14" ht="14.4">
      <c r="A87" s="65">
        <v>45681</v>
      </c>
      <c r="B87" s="61" t="s">
        <v>600</v>
      </c>
      <c r="C87" s="39" t="s">
        <v>601</v>
      </c>
      <c r="D87" s="20" t="s">
        <v>530</v>
      </c>
      <c r="E87" s="54"/>
      <c r="F87" s="54" t="s">
        <v>463</v>
      </c>
      <c r="G87" s="54" t="s">
        <v>40</v>
      </c>
      <c r="H87" s="39" t="s">
        <v>666</v>
      </c>
      <c r="I87" s="39"/>
      <c r="J87" s="44">
        <v>110</v>
      </c>
      <c r="K87" s="44"/>
      <c r="L87" s="63">
        <v>110</v>
      </c>
      <c r="M87" s="64" t="s">
        <v>480</v>
      </c>
      <c r="N87" s="2"/>
    </row>
    <row r="88" spans="1:14" ht="14.4">
      <c r="A88" s="65">
        <v>45681</v>
      </c>
      <c r="B88" s="61" t="s">
        <v>696</v>
      </c>
      <c r="C88" s="39" t="s">
        <v>697</v>
      </c>
      <c r="D88" s="20" t="s">
        <v>478</v>
      </c>
      <c r="E88" s="54" t="s">
        <v>447</v>
      </c>
      <c r="F88" s="54"/>
      <c r="G88" s="54" t="s">
        <v>56</v>
      </c>
      <c r="H88" s="39" t="s">
        <v>683</v>
      </c>
      <c r="I88" s="39"/>
      <c r="J88" s="44">
        <v>272.5</v>
      </c>
      <c r="K88" s="44"/>
      <c r="L88" s="63">
        <v>545</v>
      </c>
      <c r="M88" s="98" t="s">
        <v>645</v>
      </c>
      <c r="N88" s="2"/>
    </row>
    <row r="89" spans="1:14" ht="14.4">
      <c r="A89" s="65">
        <v>45681</v>
      </c>
      <c r="B89" s="61" t="s">
        <v>698</v>
      </c>
      <c r="C89" s="39" t="s">
        <v>699</v>
      </c>
      <c r="D89" s="20" t="s">
        <v>453</v>
      </c>
      <c r="E89" s="54" t="s">
        <v>447</v>
      </c>
      <c r="F89" s="54" t="s">
        <v>252</v>
      </c>
      <c r="G89" s="54" t="s">
        <v>23</v>
      </c>
      <c r="H89" s="39" t="s">
        <v>503</v>
      </c>
      <c r="I89" s="39"/>
      <c r="J89" s="44">
        <v>80</v>
      </c>
      <c r="K89" s="44"/>
      <c r="L89" s="63">
        <v>80</v>
      </c>
      <c r="M89" s="58" t="s">
        <v>449</v>
      </c>
      <c r="N89" s="2"/>
    </row>
    <row r="90" spans="1:14" ht="14.4">
      <c r="A90" s="86">
        <v>45318</v>
      </c>
      <c r="B90" s="87" t="s">
        <v>700</v>
      </c>
      <c r="C90" s="91" t="s">
        <v>701</v>
      </c>
      <c r="D90" s="89" t="s">
        <v>453</v>
      </c>
      <c r="E90" s="90" t="s">
        <v>447</v>
      </c>
      <c r="F90" s="54" t="s">
        <v>252</v>
      </c>
      <c r="G90" s="54" t="s">
        <v>23</v>
      </c>
      <c r="H90" s="91" t="s">
        <v>503</v>
      </c>
      <c r="I90" s="91"/>
      <c r="J90" s="92">
        <v>80</v>
      </c>
      <c r="K90" s="92"/>
      <c r="L90" s="93">
        <v>80</v>
      </c>
      <c r="M90" s="58" t="s">
        <v>449</v>
      </c>
      <c r="N90" s="2"/>
    </row>
    <row r="91" spans="1:14" ht="14.4">
      <c r="A91" s="86">
        <v>45318</v>
      </c>
      <c r="B91" s="87" t="s">
        <v>702</v>
      </c>
      <c r="C91" s="91" t="s">
        <v>703</v>
      </c>
      <c r="D91" s="89" t="s">
        <v>446</v>
      </c>
      <c r="E91" s="90" t="s">
        <v>447</v>
      </c>
      <c r="F91" s="54" t="s">
        <v>252</v>
      </c>
      <c r="G91" s="54" t="s">
        <v>23</v>
      </c>
      <c r="H91" s="91" t="s">
        <v>503</v>
      </c>
      <c r="I91" s="91"/>
      <c r="J91" s="92">
        <v>80</v>
      </c>
      <c r="K91" s="92"/>
      <c r="L91" s="93">
        <v>80</v>
      </c>
      <c r="M91" s="107"/>
      <c r="N91" s="2"/>
    </row>
    <row r="92" spans="1:14" ht="14.4">
      <c r="A92" s="86">
        <v>45318</v>
      </c>
      <c r="B92" s="87" t="s">
        <v>704</v>
      </c>
      <c r="C92" s="88" t="s">
        <v>705</v>
      </c>
      <c r="D92" s="89" t="s">
        <v>588</v>
      </c>
      <c r="E92" s="90" t="s">
        <v>447</v>
      </c>
      <c r="F92" s="54" t="s">
        <v>463</v>
      </c>
      <c r="G92" s="54" t="s">
        <v>40</v>
      </c>
      <c r="H92" s="91" t="s">
        <v>706</v>
      </c>
      <c r="I92" s="91"/>
      <c r="J92" s="92">
        <v>130</v>
      </c>
      <c r="K92" s="92"/>
      <c r="L92" s="93">
        <v>130</v>
      </c>
      <c r="M92" s="58" t="s">
        <v>449</v>
      </c>
      <c r="N92" s="2"/>
    </row>
    <row r="93" spans="1:14" ht="14.4">
      <c r="A93" s="86">
        <v>45318</v>
      </c>
      <c r="B93" s="87" t="s">
        <v>600</v>
      </c>
      <c r="C93" s="88" t="s">
        <v>601</v>
      </c>
      <c r="D93" s="89" t="s">
        <v>530</v>
      </c>
      <c r="E93" s="90" t="s">
        <v>447</v>
      </c>
      <c r="F93" s="54" t="s">
        <v>463</v>
      </c>
      <c r="G93" s="54" t="s">
        <v>40</v>
      </c>
      <c r="H93" s="91" t="s">
        <v>531</v>
      </c>
      <c r="I93" s="91"/>
      <c r="J93" s="92">
        <v>110</v>
      </c>
      <c r="K93" s="92"/>
      <c r="L93" s="93">
        <v>110</v>
      </c>
      <c r="M93" s="64" t="s">
        <v>480</v>
      </c>
      <c r="N93" s="2"/>
    </row>
    <row r="94" spans="1:14" ht="14.4">
      <c r="A94" s="86">
        <v>45684</v>
      </c>
      <c r="B94" s="108" t="s">
        <v>707</v>
      </c>
      <c r="C94" s="91" t="s">
        <v>708</v>
      </c>
      <c r="D94" s="89" t="s">
        <v>453</v>
      </c>
      <c r="E94" s="90" t="s">
        <v>447</v>
      </c>
      <c r="F94" s="54" t="s">
        <v>22</v>
      </c>
      <c r="G94" s="54" t="s">
        <v>23</v>
      </c>
      <c r="H94" s="91" t="s">
        <v>709</v>
      </c>
      <c r="I94" s="91"/>
      <c r="J94" s="92">
        <v>219</v>
      </c>
      <c r="K94" s="92"/>
      <c r="L94" s="93">
        <v>219</v>
      </c>
      <c r="M94" s="58" t="s">
        <v>449</v>
      </c>
      <c r="N94" s="2"/>
    </row>
    <row r="95" spans="1:14" ht="14.4">
      <c r="A95" s="86">
        <v>45684</v>
      </c>
      <c r="B95" s="87" t="s">
        <v>710</v>
      </c>
      <c r="C95" s="88" t="s">
        <v>711</v>
      </c>
      <c r="D95" s="89" t="s">
        <v>588</v>
      </c>
      <c r="E95" s="90" t="s">
        <v>447</v>
      </c>
      <c r="F95" s="54" t="s">
        <v>463</v>
      </c>
      <c r="G95" s="54" t="s">
        <v>40</v>
      </c>
      <c r="H95" s="91" t="s">
        <v>712</v>
      </c>
      <c r="I95" s="91"/>
      <c r="J95" s="92">
        <v>190</v>
      </c>
      <c r="K95" s="92"/>
      <c r="L95" s="93">
        <v>190</v>
      </c>
      <c r="M95" s="98" t="s">
        <v>645</v>
      </c>
      <c r="N95" s="2"/>
    </row>
    <row r="96" spans="1:14" ht="14.4">
      <c r="A96" s="65">
        <v>45685</v>
      </c>
      <c r="B96" s="61" t="s">
        <v>713</v>
      </c>
      <c r="C96" s="62" t="s">
        <v>714</v>
      </c>
      <c r="D96" s="20" t="s">
        <v>588</v>
      </c>
      <c r="E96" s="54" t="s">
        <v>447</v>
      </c>
      <c r="F96" s="54" t="s">
        <v>463</v>
      </c>
      <c r="G96" s="54" t="s">
        <v>40</v>
      </c>
      <c r="H96" s="39" t="s">
        <v>715</v>
      </c>
      <c r="I96" s="39"/>
      <c r="J96" s="44">
        <v>90</v>
      </c>
      <c r="K96" s="44"/>
      <c r="L96" s="63">
        <v>90</v>
      </c>
      <c r="M96" s="64" t="s">
        <v>716</v>
      </c>
      <c r="N96" s="2"/>
    </row>
    <row r="97" spans="1:14" ht="14.4">
      <c r="A97" s="65">
        <v>45685</v>
      </c>
      <c r="B97" s="61" t="s">
        <v>717</v>
      </c>
      <c r="C97" s="39" t="s">
        <v>718</v>
      </c>
      <c r="D97" s="20" t="s">
        <v>522</v>
      </c>
      <c r="E97" s="54" t="s">
        <v>519</v>
      </c>
      <c r="F97" s="54" t="s">
        <v>252</v>
      </c>
      <c r="G97" s="54" t="s">
        <v>23</v>
      </c>
      <c r="H97" s="39" t="s">
        <v>719</v>
      </c>
      <c r="I97" s="39"/>
      <c r="J97" s="44">
        <v>75</v>
      </c>
      <c r="K97" s="44"/>
      <c r="L97" s="63">
        <v>150</v>
      </c>
      <c r="M97" s="58" t="s">
        <v>449</v>
      </c>
      <c r="N97" s="2"/>
    </row>
    <row r="98" spans="1:14" ht="14.4">
      <c r="A98" s="65">
        <v>45685</v>
      </c>
      <c r="B98" s="61" t="s">
        <v>720</v>
      </c>
      <c r="C98" s="39" t="s">
        <v>721</v>
      </c>
      <c r="D98" s="20" t="s">
        <v>453</v>
      </c>
      <c r="E98" s="54" t="s">
        <v>447</v>
      </c>
      <c r="F98" s="54" t="s">
        <v>33</v>
      </c>
      <c r="G98" s="54" t="s">
        <v>23</v>
      </c>
      <c r="H98" s="39" t="s">
        <v>722</v>
      </c>
      <c r="I98" s="39"/>
      <c r="J98" s="44">
        <v>80</v>
      </c>
      <c r="K98" s="44"/>
      <c r="L98" s="63">
        <v>80</v>
      </c>
      <c r="M98" s="58" t="s">
        <v>449</v>
      </c>
      <c r="N98" s="2"/>
    </row>
    <row r="99" spans="1:14" ht="14.4">
      <c r="A99" s="86">
        <v>45686</v>
      </c>
      <c r="B99" s="87" t="s">
        <v>723</v>
      </c>
      <c r="C99" s="88" t="s">
        <v>724</v>
      </c>
      <c r="D99" s="89" t="s">
        <v>483</v>
      </c>
      <c r="E99" s="90" t="s">
        <v>447</v>
      </c>
      <c r="F99" s="54" t="s">
        <v>463</v>
      </c>
      <c r="G99" s="54" t="s">
        <v>40</v>
      </c>
      <c r="H99" s="91" t="s">
        <v>725</v>
      </c>
      <c r="I99" s="91"/>
      <c r="J99" s="92">
        <v>175</v>
      </c>
      <c r="K99" s="92"/>
      <c r="L99" s="93">
        <v>175</v>
      </c>
      <c r="M99" s="58" t="s">
        <v>449</v>
      </c>
      <c r="N99" s="2"/>
    </row>
    <row r="100" spans="1:14" ht="14.4">
      <c r="A100" s="86">
        <v>45686</v>
      </c>
      <c r="B100" s="87" t="s">
        <v>646</v>
      </c>
      <c r="C100" s="91" t="s">
        <v>647</v>
      </c>
      <c r="D100" s="89" t="s">
        <v>483</v>
      </c>
      <c r="E100" s="90" t="s">
        <v>447</v>
      </c>
      <c r="F100" s="54" t="s">
        <v>487</v>
      </c>
      <c r="G100" s="54" t="s">
        <v>40</v>
      </c>
      <c r="H100" s="91" t="s">
        <v>648</v>
      </c>
      <c r="I100" s="91"/>
      <c r="J100" s="92">
        <v>760</v>
      </c>
      <c r="K100" s="92"/>
      <c r="L100" s="93">
        <v>760</v>
      </c>
      <c r="M100" s="58" t="s">
        <v>726</v>
      </c>
      <c r="N100" s="2"/>
    </row>
    <row r="101" spans="1:14" ht="14.4">
      <c r="A101" s="86">
        <v>45686</v>
      </c>
      <c r="B101" s="87" t="s">
        <v>600</v>
      </c>
      <c r="C101" s="91" t="s">
        <v>601</v>
      </c>
      <c r="D101" s="89" t="s">
        <v>530</v>
      </c>
      <c r="E101" s="90"/>
      <c r="F101" s="54" t="s">
        <v>463</v>
      </c>
      <c r="G101" s="54" t="s">
        <v>40</v>
      </c>
      <c r="H101" s="91" t="s">
        <v>666</v>
      </c>
      <c r="I101" s="91"/>
      <c r="J101" s="92">
        <v>110</v>
      </c>
      <c r="K101" s="92"/>
      <c r="L101" s="93">
        <v>110</v>
      </c>
      <c r="M101" s="64" t="s">
        <v>480</v>
      </c>
      <c r="N101" s="2"/>
    </row>
    <row r="102" spans="1:14" ht="14.4">
      <c r="A102" s="86">
        <v>45686</v>
      </c>
      <c r="B102" s="87" t="s">
        <v>727</v>
      </c>
      <c r="C102" s="91" t="s">
        <v>728</v>
      </c>
      <c r="D102" s="89" t="s">
        <v>478</v>
      </c>
      <c r="E102" s="90" t="s">
        <v>447</v>
      </c>
      <c r="F102" s="54"/>
      <c r="G102" s="54" t="s">
        <v>56</v>
      </c>
      <c r="H102" s="91" t="s">
        <v>553</v>
      </c>
      <c r="I102" s="91"/>
      <c r="J102" s="92">
        <v>145</v>
      </c>
      <c r="K102" s="92"/>
      <c r="L102" s="93">
        <v>290</v>
      </c>
      <c r="M102" s="98" t="s">
        <v>645</v>
      </c>
      <c r="N102" s="2"/>
    </row>
    <row r="103" spans="1:14" ht="14.4">
      <c r="A103" s="86">
        <v>45686</v>
      </c>
      <c r="B103" s="87" t="s">
        <v>729</v>
      </c>
      <c r="C103" s="91" t="s">
        <v>730</v>
      </c>
      <c r="D103" s="89" t="s">
        <v>478</v>
      </c>
      <c r="E103" s="90" t="s">
        <v>447</v>
      </c>
      <c r="F103" s="54"/>
      <c r="G103" s="54" t="s">
        <v>56</v>
      </c>
      <c r="H103" s="91" t="s">
        <v>553</v>
      </c>
      <c r="I103" s="91"/>
      <c r="J103" s="92">
        <v>145</v>
      </c>
      <c r="K103" s="92"/>
      <c r="L103" s="93">
        <v>290</v>
      </c>
      <c r="M103" s="98" t="s">
        <v>645</v>
      </c>
      <c r="N103" s="2"/>
    </row>
    <row r="104" spans="1:14" ht="14.4">
      <c r="A104" s="86">
        <v>45686</v>
      </c>
      <c r="B104" s="87" t="s">
        <v>731</v>
      </c>
      <c r="C104" s="91" t="s">
        <v>732</v>
      </c>
      <c r="D104" s="89" t="s">
        <v>446</v>
      </c>
      <c r="E104" s="90" t="s">
        <v>447</v>
      </c>
      <c r="F104" s="54" t="s">
        <v>22</v>
      </c>
      <c r="G104" s="54" t="s">
        <v>23</v>
      </c>
      <c r="H104" s="91" t="s">
        <v>572</v>
      </c>
      <c r="I104" s="91"/>
      <c r="J104" s="92">
        <v>250</v>
      </c>
      <c r="K104" s="92"/>
      <c r="L104" s="93">
        <v>499</v>
      </c>
      <c r="M104" s="58" t="s">
        <v>449</v>
      </c>
      <c r="N104" s="2"/>
    </row>
    <row r="105" spans="1:14" ht="14.4">
      <c r="A105" s="65">
        <v>45687</v>
      </c>
      <c r="B105" s="61" t="s">
        <v>600</v>
      </c>
      <c r="C105" s="39" t="s">
        <v>601</v>
      </c>
      <c r="D105" s="20" t="s">
        <v>530</v>
      </c>
      <c r="E105" s="54"/>
      <c r="F105" s="54"/>
      <c r="G105" s="54" t="s">
        <v>40</v>
      </c>
      <c r="H105" s="39" t="s">
        <v>666</v>
      </c>
      <c r="I105" s="39"/>
      <c r="J105" s="44">
        <v>110</v>
      </c>
      <c r="K105" s="44"/>
      <c r="L105" s="63">
        <v>110</v>
      </c>
      <c r="M105" s="64" t="s">
        <v>480</v>
      </c>
      <c r="N105" s="2"/>
    </row>
    <row r="106" spans="1:14" ht="14.4">
      <c r="A106" s="65">
        <v>45687</v>
      </c>
      <c r="B106" s="61" t="s">
        <v>733</v>
      </c>
      <c r="C106" s="39" t="s">
        <v>734</v>
      </c>
      <c r="D106" s="20" t="s">
        <v>522</v>
      </c>
      <c r="E106" s="54" t="s">
        <v>447</v>
      </c>
      <c r="F106" s="54" t="s">
        <v>735</v>
      </c>
      <c r="G106" s="54" t="s">
        <v>23</v>
      </c>
      <c r="H106" s="39" t="s">
        <v>736</v>
      </c>
      <c r="I106" s="39"/>
      <c r="J106" s="44">
        <v>195</v>
      </c>
      <c r="K106" s="44"/>
      <c r="L106" s="63">
        <v>390</v>
      </c>
      <c r="M106" s="58" t="s">
        <v>449</v>
      </c>
      <c r="N106" s="2"/>
    </row>
    <row r="107" spans="1:14" ht="14.4">
      <c r="A107" s="109">
        <v>45687</v>
      </c>
      <c r="B107" s="110" t="s">
        <v>733</v>
      </c>
      <c r="C107" s="111" t="s">
        <v>737</v>
      </c>
      <c r="D107" s="4" t="s">
        <v>453</v>
      </c>
      <c r="E107" s="112" t="s">
        <v>447</v>
      </c>
      <c r="F107" s="54" t="s">
        <v>205</v>
      </c>
      <c r="G107" s="54" t="s">
        <v>23</v>
      </c>
      <c r="H107" s="111" t="s">
        <v>738</v>
      </c>
      <c r="I107" s="111"/>
      <c r="J107" s="113">
        <v>99</v>
      </c>
      <c r="K107" s="113"/>
      <c r="L107" s="114">
        <v>199</v>
      </c>
      <c r="M107" s="58" t="s">
        <v>449</v>
      </c>
      <c r="N107" s="2"/>
    </row>
    <row r="108" spans="1:14" ht="14.4">
      <c r="A108" s="115">
        <v>45688</v>
      </c>
      <c r="B108" s="116" t="s">
        <v>739</v>
      </c>
      <c r="C108" s="117" t="s">
        <v>740</v>
      </c>
      <c r="D108" s="118" t="s">
        <v>522</v>
      </c>
      <c r="E108" s="119" t="s">
        <v>519</v>
      </c>
      <c r="F108" s="54" t="s">
        <v>252</v>
      </c>
      <c r="G108" s="54" t="s">
        <v>23</v>
      </c>
      <c r="H108" s="117" t="s">
        <v>741</v>
      </c>
      <c r="I108" s="117"/>
      <c r="J108" s="120">
        <v>75</v>
      </c>
      <c r="K108" s="120"/>
      <c r="L108" s="121">
        <v>150</v>
      </c>
      <c r="M108" s="122" t="s">
        <v>742</v>
      </c>
      <c r="N108" s="2"/>
    </row>
    <row r="109" spans="1:14" ht="14.4">
      <c r="A109" s="42">
        <v>45688</v>
      </c>
      <c r="B109" s="123" t="s">
        <v>743</v>
      </c>
      <c r="C109" s="124" t="s">
        <v>744</v>
      </c>
      <c r="D109" s="125" t="s">
        <v>530</v>
      </c>
      <c r="E109" s="126" t="s">
        <v>519</v>
      </c>
      <c r="F109" s="54" t="s">
        <v>463</v>
      </c>
      <c r="G109" s="54" t="s">
        <v>40</v>
      </c>
      <c r="H109" s="124" t="s">
        <v>745</v>
      </c>
      <c r="I109" s="124"/>
      <c r="J109" s="37" t="s">
        <v>14</v>
      </c>
      <c r="K109" s="37"/>
      <c r="L109" s="127">
        <v>110</v>
      </c>
      <c r="M109" s="98" t="s">
        <v>645</v>
      </c>
      <c r="N109" s="2"/>
    </row>
    <row r="110" spans="1:14" ht="14.4">
      <c r="A110" s="42">
        <v>45688</v>
      </c>
      <c r="B110" s="123" t="s">
        <v>746</v>
      </c>
      <c r="C110" s="124"/>
      <c r="D110" s="125"/>
      <c r="E110" s="126"/>
      <c r="F110" s="54"/>
      <c r="G110" s="54"/>
      <c r="H110" s="124"/>
      <c r="I110" s="124"/>
      <c r="J110" s="37"/>
      <c r="K110" s="37"/>
      <c r="L110" s="127">
        <v>145</v>
      </c>
      <c r="M110" s="98" t="s">
        <v>645</v>
      </c>
      <c r="N110" s="2"/>
    </row>
    <row r="111" spans="1:14" ht="14.4">
      <c r="A111" s="42">
        <v>45688</v>
      </c>
      <c r="B111" s="123" t="s">
        <v>747</v>
      </c>
      <c r="C111" s="124"/>
      <c r="D111" s="125"/>
      <c r="E111" s="126"/>
      <c r="F111" s="54"/>
      <c r="G111" s="54"/>
      <c r="H111" s="124"/>
      <c r="I111" s="124"/>
      <c r="J111" s="37">
        <v>150</v>
      </c>
      <c r="K111" s="37"/>
      <c r="L111" s="127">
        <f>J111+K111</f>
        <v>150</v>
      </c>
      <c r="M111" s="98" t="s">
        <v>645</v>
      </c>
      <c r="N111" s="2"/>
    </row>
    <row r="112" spans="1:14" ht="14.4">
      <c r="A112" s="42">
        <v>45688</v>
      </c>
      <c r="B112" s="123" t="s">
        <v>748</v>
      </c>
      <c r="C112" s="124"/>
      <c r="D112" s="125"/>
      <c r="E112" s="126"/>
      <c r="F112" s="54"/>
      <c r="G112" s="54"/>
      <c r="H112" s="124"/>
      <c r="I112" s="124"/>
      <c r="J112" s="37"/>
      <c r="K112" s="37"/>
      <c r="L112" s="127">
        <v>629</v>
      </c>
      <c r="M112" s="98" t="s">
        <v>645</v>
      </c>
      <c r="N112" s="2"/>
    </row>
    <row r="113" spans="1:14" ht="14.4">
      <c r="A113" s="42">
        <v>45689</v>
      </c>
      <c r="B113" s="123" t="s">
        <v>743</v>
      </c>
      <c r="C113" s="124" t="s">
        <v>744</v>
      </c>
      <c r="D113" s="125" t="s">
        <v>530</v>
      </c>
      <c r="E113" s="126" t="s">
        <v>519</v>
      </c>
      <c r="F113" s="54" t="s">
        <v>463</v>
      </c>
      <c r="G113" s="54" t="s">
        <v>40</v>
      </c>
      <c r="H113" s="124" t="s">
        <v>745</v>
      </c>
      <c r="I113" s="124"/>
      <c r="J113" s="37" t="s">
        <v>14</v>
      </c>
      <c r="K113" s="37"/>
      <c r="L113" s="127">
        <v>110</v>
      </c>
      <c r="M113" s="98" t="s">
        <v>645</v>
      </c>
      <c r="N113" s="2"/>
    </row>
    <row r="114" spans="1:14" ht="14.4">
      <c r="A114" s="128">
        <v>45689</v>
      </c>
      <c r="B114" s="51" t="s">
        <v>749</v>
      </c>
      <c r="C114" s="52" t="s">
        <v>750</v>
      </c>
      <c r="D114" s="129" t="s">
        <v>498</v>
      </c>
      <c r="E114" s="53" t="s">
        <v>519</v>
      </c>
      <c r="F114" s="54" t="s">
        <v>253</v>
      </c>
      <c r="G114" s="54" t="s">
        <v>23</v>
      </c>
      <c r="H114" s="55" t="s">
        <v>751</v>
      </c>
      <c r="I114" s="55"/>
      <c r="J114" s="56">
        <v>130</v>
      </c>
      <c r="K114" s="56"/>
      <c r="L114" s="57">
        <v>260</v>
      </c>
      <c r="M114" s="130" t="s">
        <v>742</v>
      </c>
      <c r="N114" s="2"/>
    </row>
    <row r="115" spans="1:14" ht="14.4">
      <c r="A115" s="65">
        <v>45689</v>
      </c>
      <c r="B115" s="61" t="s">
        <v>752</v>
      </c>
      <c r="C115" s="39" t="s">
        <v>753</v>
      </c>
      <c r="D115" s="20" t="s">
        <v>522</v>
      </c>
      <c r="E115" s="54" t="s">
        <v>519</v>
      </c>
      <c r="F115" s="54" t="s">
        <v>252</v>
      </c>
      <c r="G115" s="54" t="s">
        <v>23</v>
      </c>
      <c r="H115" s="39" t="s">
        <v>754</v>
      </c>
      <c r="I115" s="39"/>
      <c r="J115" s="44">
        <v>500</v>
      </c>
      <c r="K115" s="44"/>
      <c r="L115" s="63">
        <v>500</v>
      </c>
      <c r="M115" s="64" t="s">
        <v>742</v>
      </c>
      <c r="N115" s="2"/>
    </row>
    <row r="116" spans="1:14" ht="14.4">
      <c r="A116" s="65">
        <v>45690</v>
      </c>
      <c r="B116" s="61" t="s">
        <v>755</v>
      </c>
      <c r="C116" s="39"/>
      <c r="D116" s="20" t="s">
        <v>588</v>
      </c>
      <c r="E116" s="54" t="s">
        <v>519</v>
      </c>
      <c r="F116" s="54"/>
      <c r="G116" s="54"/>
      <c r="H116" s="39"/>
      <c r="I116" s="39"/>
      <c r="J116" s="44"/>
      <c r="K116" s="44"/>
      <c r="L116" s="63">
        <v>2220.84</v>
      </c>
      <c r="M116" s="98" t="s">
        <v>645</v>
      </c>
      <c r="N116" s="2"/>
    </row>
    <row r="117" spans="1:14" ht="14.4">
      <c r="A117" s="42">
        <v>45691</v>
      </c>
      <c r="B117" s="123" t="s">
        <v>756</v>
      </c>
      <c r="C117" s="124" t="s">
        <v>757</v>
      </c>
      <c r="D117" s="125" t="s">
        <v>446</v>
      </c>
      <c r="E117" s="126" t="s">
        <v>519</v>
      </c>
      <c r="F117" s="54" t="s">
        <v>252</v>
      </c>
      <c r="G117" s="54" t="s">
        <v>23</v>
      </c>
      <c r="H117" s="124" t="s">
        <v>758</v>
      </c>
      <c r="I117" s="124"/>
      <c r="J117" s="37">
        <v>300</v>
      </c>
      <c r="K117" s="37"/>
      <c r="L117" s="127">
        <v>600</v>
      </c>
      <c r="M117" s="98" t="s">
        <v>742</v>
      </c>
      <c r="N117" s="2"/>
    </row>
    <row r="118" spans="1:14" ht="14.4">
      <c r="A118" s="42">
        <v>45691</v>
      </c>
      <c r="B118" s="131" t="s">
        <v>759</v>
      </c>
      <c r="C118" s="124" t="s">
        <v>760</v>
      </c>
      <c r="D118" s="125" t="s">
        <v>446</v>
      </c>
      <c r="E118" s="126" t="s">
        <v>519</v>
      </c>
      <c r="F118" s="54" t="s">
        <v>252</v>
      </c>
      <c r="G118" s="54" t="s">
        <v>23</v>
      </c>
      <c r="H118" s="124" t="s">
        <v>761</v>
      </c>
      <c r="I118" s="124"/>
      <c r="J118" s="37">
        <v>126</v>
      </c>
      <c r="K118" s="37"/>
      <c r="L118" s="127">
        <v>420</v>
      </c>
      <c r="M118" s="98" t="s">
        <v>742</v>
      </c>
      <c r="N118" s="2"/>
    </row>
    <row r="119" spans="1:14" ht="14.4">
      <c r="A119" s="65">
        <v>45691</v>
      </c>
      <c r="B119" s="61" t="s">
        <v>460</v>
      </c>
      <c r="C119" s="39" t="s">
        <v>461</v>
      </c>
      <c r="D119" s="20" t="s">
        <v>530</v>
      </c>
      <c r="E119" s="54" t="s">
        <v>447</v>
      </c>
      <c r="F119" s="54"/>
      <c r="G119" s="54" t="s">
        <v>40</v>
      </c>
      <c r="H119" s="39" t="s">
        <v>762</v>
      </c>
      <c r="I119" s="39"/>
      <c r="J119" s="44">
        <v>729</v>
      </c>
      <c r="K119" s="44"/>
      <c r="L119" s="63">
        <v>729</v>
      </c>
      <c r="M119" s="58" t="s">
        <v>449</v>
      </c>
      <c r="N119" s="2"/>
    </row>
    <row r="120" spans="1:14" ht="14.4">
      <c r="A120" s="65">
        <v>45691</v>
      </c>
      <c r="B120" s="61" t="s">
        <v>763</v>
      </c>
      <c r="C120" s="132" t="s">
        <v>764</v>
      </c>
      <c r="D120" s="20" t="s">
        <v>453</v>
      </c>
      <c r="E120" s="54" t="s">
        <v>519</v>
      </c>
      <c r="F120" s="54" t="s">
        <v>252</v>
      </c>
      <c r="G120" s="54" t="s">
        <v>23</v>
      </c>
      <c r="H120" s="39" t="s">
        <v>765</v>
      </c>
      <c r="I120" s="39"/>
      <c r="J120" s="44">
        <v>500</v>
      </c>
      <c r="K120" s="44"/>
      <c r="L120" s="63">
        <v>1000</v>
      </c>
      <c r="M120" s="98" t="s">
        <v>766</v>
      </c>
      <c r="N120" s="2"/>
    </row>
    <row r="121" spans="1:14" ht="14.4">
      <c r="A121" s="65">
        <v>45691</v>
      </c>
      <c r="B121" s="61" t="s">
        <v>763</v>
      </c>
      <c r="C121" s="132" t="s">
        <v>764</v>
      </c>
      <c r="D121" s="20" t="s">
        <v>453</v>
      </c>
      <c r="E121" s="54" t="s">
        <v>519</v>
      </c>
      <c r="F121" s="54" t="s">
        <v>252</v>
      </c>
      <c r="G121" s="54" t="s">
        <v>23</v>
      </c>
      <c r="H121" s="39" t="s">
        <v>765</v>
      </c>
      <c r="I121" s="39"/>
      <c r="J121" s="44">
        <v>500</v>
      </c>
      <c r="K121" s="44"/>
      <c r="L121" s="63">
        <v>1000</v>
      </c>
      <c r="M121" s="64" t="s">
        <v>742</v>
      </c>
      <c r="N121" s="2"/>
    </row>
    <row r="122" spans="1:14" ht="14.4">
      <c r="A122" s="42">
        <v>45692</v>
      </c>
      <c r="B122" s="123" t="s">
        <v>767</v>
      </c>
      <c r="C122" s="133" t="s">
        <v>768</v>
      </c>
      <c r="D122" s="125" t="s">
        <v>522</v>
      </c>
      <c r="E122" s="126" t="s">
        <v>519</v>
      </c>
      <c r="F122" s="54" t="s">
        <v>252</v>
      </c>
      <c r="G122" s="54" t="s">
        <v>23</v>
      </c>
      <c r="H122" s="124" t="s">
        <v>769</v>
      </c>
      <c r="I122" s="124"/>
      <c r="J122" s="37">
        <v>125</v>
      </c>
      <c r="K122" s="37"/>
      <c r="L122" s="127">
        <v>250</v>
      </c>
      <c r="M122" s="98" t="s">
        <v>742</v>
      </c>
      <c r="N122" s="2"/>
    </row>
    <row r="123" spans="1:14" ht="14.4">
      <c r="A123" s="42">
        <v>45692</v>
      </c>
      <c r="B123" s="123" t="s">
        <v>770</v>
      </c>
      <c r="C123" s="124" t="s">
        <v>771</v>
      </c>
      <c r="D123" s="125" t="s">
        <v>453</v>
      </c>
      <c r="E123" s="126" t="s">
        <v>519</v>
      </c>
      <c r="F123" s="54" t="s">
        <v>252</v>
      </c>
      <c r="G123" s="54" t="s">
        <v>23</v>
      </c>
      <c r="H123" s="124" t="s">
        <v>741</v>
      </c>
      <c r="I123" s="124"/>
      <c r="J123" s="37">
        <v>100</v>
      </c>
      <c r="K123" s="37"/>
      <c r="L123" s="127">
        <v>200</v>
      </c>
      <c r="M123" s="98" t="s">
        <v>742</v>
      </c>
      <c r="N123" s="2"/>
    </row>
    <row r="124" spans="1:14" ht="14.4">
      <c r="A124" s="42">
        <v>45692</v>
      </c>
      <c r="B124" s="123" t="s">
        <v>772</v>
      </c>
      <c r="C124" s="124" t="s">
        <v>764</v>
      </c>
      <c r="D124" s="125" t="s">
        <v>522</v>
      </c>
      <c r="E124" s="126" t="s">
        <v>519</v>
      </c>
      <c r="F124" s="54" t="s">
        <v>252</v>
      </c>
      <c r="G124" s="54" t="s">
        <v>23</v>
      </c>
      <c r="H124" s="124" t="s">
        <v>773</v>
      </c>
      <c r="I124" s="124"/>
      <c r="J124" s="37">
        <v>1000</v>
      </c>
      <c r="K124" s="37"/>
      <c r="L124" s="127">
        <v>2000</v>
      </c>
      <c r="M124" s="98" t="s">
        <v>742</v>
      </c>
      <c r="N124" s="2"/>
    </row>
    <row r="125" spans="1:14" ht="14.4">
      <c r="A125" s="42">
        <v>45692</v>
      </c>
      <c r="B125" s="123" t="s">
        <v>774</v>
      </c>
      <c r="C125" s="124"/>
      <c r="D125" s="125"/>
      <c r="E125" s="126"/>
      <c r="F125" s="54"/>
      <c r="G125" s="54"/>
      <c r="H125" s="124"/>
      <c r="I125" s="124"/>
      <c r="J125" s="37"/>
      <c r="K125" s="37"/>
      <c r="L125" s="127">
        <v>429</v>
      </c>
      <c r="M125" s="98" t="s">
        <v>645</v>
      </c>
      <c r="N125" s="2"/>
    </row>
    <row r="126" spans="1:14" ht="14.4">
      <c r="A126" s="65">
        <v>45693</v>
      </c>
      <c r="B126" s="61" t="s">
        <v>775</v>
      </c>
      <c r="C126" s="39" t="s">
        <v>776</v>
      </c>
      <c r="D126" s="20" t="s">
        <v>498</v>
      </c>
      <c r="E126" s="54" t="s">
        <v>447</v>
      </c>
      <c r="F126" s="54" t="s">
        <v>253</v>
      </c>
      <c r="G126" s="54" t="s">
        <v>23</v>
      </c>
      <c r="H126" s="39" t="s">
        <v>777</v>
      </c>
      <c r="I126" s="39"/>
      <c r="J126" s="44">
        <v>450</v>
      </c>
      <c r="K126" s="44"/>
      <c r="L126" s="63">
        <v>990</v>
      </c>
      <c r="M126" s="64" t="s">
        <v>742</v>
      </c>
      <c r="N126" s="2"/>
    </row>
    <row r="127" spans="1:14" ht="14.4">
      <c r="A127" s="65">
        <v>45693</v>
      </c>
      <c r="B127" s="61" t="s">
        <v>778</v>
      </c>
      <c r="C127" s="39" t="s">
        <v>779</v>
      </c>
      <c r="D127" s="20" t="s">
        <v>498</v>
      </c>
      <c r="E127" s="54" t="s">
        <v>519</v>
      </c>
      <c r="F127" s="54" t="s">
        <v>253</v>
      </c>
      <c r="G127" s="54" t="s">
        <v>23</v>
      </c>
      <c r="H127" s="39" t="s">
        <v>777</v>
      </c>
      <c r="I127" s="39"/>
      <c r="J127" s="44">
        <v>140</v>
      </c>
      <c r="K127" s="44"/>
      <c r="L127" s="63">
        <v>275</v>
      </c>
      <c r="M127" s="64" t="s">
        <v>742</v>
      </c>
      <c r="N127" s="2"/>
    </row>
    <row r="128" spans="1:14" ht="14.4">
      <c r="A128" s="42">
        <v>45693</v>
      </c>
      <c r="B128" s="123" t="s">
        <v>780</v>
      </c>
      <c r="C128" s="124"/>
      <c r="D128" s="125"/>
      <c r="E128" s="126"/>
      <c r="F128" s="54"/>
      <c r="G128" s="54"/>
      <c r="H128" s="124"/>
      <c r="I128" s="124"/>
      <c r="J128" s="37"/>
      <c r="K128" s="37"/>
      <c r="L128" s="127">
        <v>190</v>
      </c>
      <c r="M128" s="98" t="s">
        <v>645</v>
      </c>
      <c r="N128" s="2"/>
    </row>
    <row r="129" spans="1:14" ht="14.4">
      <c r="A129" s="42">
        <v>45693</v>
      </c>
      <c r="B129" s="123" t="s">
        <v>781</v>
      </c>
      <c r="C129" s="134" t="s">
        <v>782</v>
      </c>
      <c r="D129" s="125" t="s">
        <v>467</v>
      </c>
      <c r="E129" s="126" t="s">
        <v>519</v>
      </c>
      <c r="F129" s="54"/>
      <c r="G129" s="54" t="s">
        <v>27</v>
      </c>
      <c r="H129" s="124" t="s">
        <v>783</v>
      </c>
      <c r="I129" s="124"/>
      <c r="J129" s="37">
        <v>190</v>
      </c>
      <c r="K129" s="37"/>
      <c r="L129" s="127">
        <v>190</v>
      </c>
      <c r="M129" s="98" t="s">
        <v>742</v>
      </c>
      <c r="N129" s="2"/>
    </row>
    <row r="130" spans="1:14" ht="14.4">
      <c r="A130" s="42">
        <v>45694</v>
      </c>
      <c r="B130" s="123" t="s">
        <v>784</v>
      </c>
      <c r="C130" s="134" t="s">
        <v>785</v>
      </c>
      <c r="D130" s="125" t="s">
        <v>446</v>
      </c>
      <c r="E130" s="126" t="s">
        <v>447</v>
      </c>
      <c r="F130" s="54" t="s">
        <v>22</v>
      </c>
      <c r="G130" s="54" t="s">
        <v>23</v>
      </c>
      <c r="H130" s="124" t="s">
        <v>22</v>
      </c>
      <c r="I130" s="124"/>
      <c r="J130" s="37">
        <v>88</v>
      </c>
      <c r="K130" s="37"/>
      <c r="L130" s="127">
        <v>220</v>
      </c>
      <c r="M130" s="98" t="s">
        <v>786</v>
      </c>
      <c r="N130" s="2"/>
    </row>
    <row r="131" spans="1:14" ht="14.4">
      <c r="A131" s="42">
        <v>45694</v>
      </c>
      <c r="B131" s="123" t="s">
        <v>787</v>
      </c>
      <c r="C131" s="124" t="s">
        <v>788</v>
      </c>
      <c r="D131" s="125" t="s">
        <v>502</v>
      </c>
      <c r="E131" s="126" t="s">
        <v>519</v>
      </c>
      <c r="F131" s="54" t="s">
        <v>252</v>
      </c>
      <c r="G131" s="54" t="s">
        <v>23</v>
      </c>
      <c r="H131" s="124" t="s">
        <v>789</v>
      </c>
      <c r="I131" s="124"/>
      <c r="J131" s="37">
        <v>45</v>
      </c>
      <c r="K131" s="37"/>
      <c r="L131" s="127">
        <v>45</v>
      </c>
      <c r="M131" s="98" t="s">
        <v>742</v>
      </c>
      <c r="N131" s="2"/>
    </row>
    <row r="132" spans="1:14" ht="14.4">
      <c r="A132" s="42">
        <v>45694</v>
      </c>
      <c r="B132" s="123" t="s">
        <v>790</v>
      </c>
      <c r="C132" s="124" t="s">
        <v>791</v>
      </c>
      <c r="D132" s="125" t="s">
        <v>453</v>
      </c>
      <c r="E132" s="126" t="s">
        <v>519</v>
      </c>
      <c r="F132" s="54" t="s">
        <v>252</v>
      </c>
      <c r="G132" s="54" t="s">
        <v>23</v>
      </c>
      <c r="H132" s="124" t="s">
        <v>789</v>
      </c>
      <c r="I132" s="124"/>
      <c r="J132" s="37" t="s">
        <v>14</v>
      </c>
      <c r="K132" s="37"/>
      <c r="L132" s="127">
        <v>30</v>
      </c>
      <c r="M132" s="98" t="s">
        <v>766</v>
      </c>
      <c r="N132" s="2"/>
    </row>
    <row r="133" spans="1:14" ht="14.4">
      <c r="A133" s="42">
        <v>45694</v>
      </c>
      <c r="B133" s="123" t="s">
        <v>792</v>
      </c>
      <c r="C133" s="124" t="s">
        <v>793</v>
      </c>
      <c r="D133" s="125" t="s">
        <v>453</v>
      </c>
      <c r="E133" s="126" t="s">
        <v>519</v>
      </c>
      <c r="F133" s="54" t="s">
        <v>252</v>
      </c>
      <c r="G133" s="54" t="s">
        <v>23</v>
      </c>
      <c r="H133" s="124" t="s">
        <v>789</v>
      </c>
      <c r="I133" s="124"/>
      <c r="J133" s="37"/>
      <c r="K133" s="37"/>
      <c r="L133" s="127">
        <v>30</v>
      </c>
      <c r="M133" s="98" t="s">
        <v>766</v>
      </c>
      <c r="N133" s="2"/>
    </row>
    <row r="134" spans="1:14" ht="14.4">
      <c r="A134" s="42">
        <v>45694</v>
      </c>
      <c r="B134" s="123" t="s">
        <v>780</v>
      </c>
      <c r="C134" s="124"/>
      <c r="D134" s="125"/>
      <c r="E134" s="126"/>
      <c r="F134" s="54"/>
      <c r="G134" s="54"/>
      <c r="H134" s="124"/>
      <c r="I134" s="124"/>
      <c r="J134" s="37"/>
      <c r="K134" s="37"/>
      <c r="L134" s="127">
        <v>190</v>
      </c>
      <c r="M134" s="98" t="s">
        <v>645</v>
      </c>
      <c r="N134" s="2"/>
    </row>
    <row r="135" spans="1:14" ht="14.4">
      <c r="A135" s="42">
        <v>45695</v>
      </c>
      <c r="B135" s="123" t="s">
        <v>794</v>
      </c>
      <c r="C135" s="124" t="s">
        <v>795</v>
      </c>
      <c r="D135" s="125"/>
      <c r="E135" s="126" t="s">
        <v>519</v>
      </c>
      <c r="F135" s="54" t="s">
        <v>252</v>
      </c>
      <c r="G135" s="54" t="s">
        <v>23</v>
      </c>
      <c r="H135" s="124" t="s">
        <v>758</v>
      </c>
      <c r="I135" s="124"/>
      <c r="J135" s="37">
        <v>283</v>
      </c>
      <c r="K135" s="37"/>
      <c r="L135" s="127">
        <v>565</v>
      </c>
      <c r="M135" s="98" t="s">
        <v>742</v>
      </c>
      <c r="N135" s="2"/>
    </row>
    <row r="136" spans="1:14" ht="14.4">
      <c r="A136" s="42">
        <v>45695</v>
      </c>
      <c r="B136" s="123" t="s">
        <v>796</v>
      </c>
      <c r="C136" s="124" t="s">
        <v>797</v>
      </c>
      <c r="D136" s="125" t="s">
        <v>467</v>
      </c>
      <c r="E136" s="126" t="s">
        <v>519</v>
      </c>
      <c r="F136" s="54"/>
      <c r="G136" s="54"/>
      <c r="H136" s="124" t="s">
        <v>783</v>
      </c>
      <c r="I136" s="124"/>
      <c r="J136" s="37">
        <v>390</v>
      </c>
      <c r="K136" s="37"/>
      <c r="L136" s="127">
        <v>390</v>
      </c>
      <c r="M136" s="98" t="s">
        <v>742</v>
      </c>
      <c r="N136" s="2"/>
    </row>
    <row r="137" spans="1:14" ht="14.4">
      <c r="A137" s="42">
        <v>45695</v>
      </c>
      <c r="B137" s="123" t="s">
        <v>798</v>
      </c>
      <c r="C137" s="124" t="s">
        <v>799</v>
      </c>
      <c r="D137" s="125" t="s">
        <v>498</v>
      </c>
      <c r="E137" s="126" t="s">
        <v>519</v>
      </c>
      <c r="F137" s="54" t="s">
        <v>253</v>
      </c>
      <c r="G137" s="54" t="s">
        <v>23</v>
      </c>
      <c r="H137" s="124" t="s">
        <v>800</v>
      </c>
      <c r="I137" s="124"/>
      <c r="J137" s="37">
        <v>50</v>
      </c>
      <c r="K137" s="37"/>
      <c r="L137" s="127">
        <v>235</v>
      </c>
      <c r="M137" s="98" t="s">
        <v>742</v>
      </c>
      <c r="N137" s="2"/>
    </row>
    <row r="138" spans="1:14" ht="14.4">
      <c r="A138" s="42">
        <v>45695</v>
      </c>
      <c r="B138" s="123" t="s">
        <v>801</v>
      </c>
      <c r="C138" s="124" t="s">
        <v>802</v>
      </c>
      <c r="D138" s="125" t="s">
        <v>502</v>
      </c>
      <c r="E138" s="126" t="s">
        <v>519</v>
      </c>
      <c r="F138" s="54" t="s">
        <v>252</v>
      </c>
      <c r="G138" s="54" t="s">
        <v>23</v>
      </c>
      <c r="H138" s="124" t="s">
        <v>789</v>
      </c>
      <c r="I138" s="124"/>
      <c r="J138" s="37">
        <v>45</v>
      </c>
      <c r="K138" s="37"/>
      <c r="L138" s="127">
        <v>45</v>
      </c>
      <c r="M138" s="98" t="s">
        <v>766</v>
      </c>
      <c r="N138" s="2"/>
    </row>
    <row r="139" spans="1:14" ht="14.4">
      <c r="A139" s="42">
        <v>45695</v>
      </c>
      <c r="B139" s="123" t="s">
        <v>803</v>
      </c>
      <c r="C139" s="124"/>
      <c r="D139" s="125"/>
      <c r="E139" s="126"/>
      <c r="F139" s="54"/>
      <c r="G139" s="54"/>
      <c r="H139" s="124"/>
      <c r="I139" s="124"/>
      <c r="J139" s="37"/>
      <c r="K139" s="37"/>
      <c r="L139" s="127">
        <v>790</v>
      </c>
      <c r="M139" s="98" t="s">
        <v>645</v>
      </c>
      <c r="N139" s="2"/>
    </row>
    <row r="140" spans="1:14" ht="14.4">
      <c r="A140" s="42">
        <v>45696</v>
      </c>
      <c r="B140" s="123" t="s">
        <v>804</v>
      </c>
      <c r="C140" s="124" t="s">
        <v>805</v>
      </c>
      <c r="D140" s="125" t="s">
        <v>522</v>
      </c>
      <c r="E140" s="126" t="s">
        <v>447</v>
      </c>
      <c r="F140" s="54" t="s">
        <v>252</v>
      </c>
      <c r="G140" s="54" t="s">
        <v>23</v>
      </c>
      <c r="H140" s="124" t="s">
        <v>789</v>
      </c>
      <c r="I140" s="124"/>
      <c r="J140" s="37">
        <v>50</v>
      </c>
      <c r="K140" s="37"/>
      <c r="L140" s="127">
        <v>50</v>
      </c>
      <c r="M140" s="98" t="s">
        <v>742</v>
      </c>
      <c r="N140" s="2"/>
    </row>
    <row r="141" spans="1:14" ht="14.4">
      <c r="A141" s="42">
        <v>45696</v>
      </c>
      <c r="B141" s="123" t="s">
        <v>675</v>
      </c>
      <c r="C141" s="124"/>
      <c r="D141" s="125"/>
      <c r="E141" s="126"/>
      <c r="F141" s="54"/>
      <c r="G141" s="54"/>
      <c r="H141" s="124"/>
      <c r="I141" s="124"/>
      <c r="J141" s="37"/>
      <c r="K141" s="37"/>
      <c r="L141" s="127">
        <v>110</v>
      </c>
      <c r="M141" s="98" t="s">
        <v>645</v>
      </c>
      <c r="N141" s="2"/>
    </row>
    <row r="142" spans="1:14" ht="14.4">
      <c r="A142" s="42">
        <v>45696</v>
      </c>
      <c r="B142" s="123" t="s">
        <v>806</v>
      </c>
      <c r="C142" s="124" t="s">
        <v>807</v>
      </c>
      <c r="D142" s="125" t="s">
        <v>453</v>
      </c>
      <c r="E142" s="126" t="s">
        <v>519</v>
      </c>
      <c r="F142" s="54" t="s">
        <v>33</v>
      </c>
      <c r="G142" s="54" t="s">
        <v>23</v>
      </c>
      <c r="H142" s="124" t="s">
        <v>808</v>
      </c>
      <c r="I142" s="124"/>
      <c r="J142" s="37">
        <v>100</v>
      </c>
      <c r="K142" s="37"/>
      <c r="L142" s="127">
        <v>250</v>
      </c>
      <c r="M142" s="98" t="s">
        <v>766</v>
      </c>
      <c r="N142" s="2"/>
    </row>
    <row r="143" spans="1:14" ht="14.4">
      <c r="A143" s="42">
        <v>45696</v>
      </c>
      <c r="B143" s="123" t="s">
        <v>809</v>
      </c>
      <c r="C143" s="124" t="s">
        <v>810</v>
      </c>
      <c r="D143" s="125" t="s">
        <v>446</v>
      </c>
      <c r="E143" s="126" t="s">
        <v>519</v>
      </c>
      <c r="F143" s="54" t="s">
        <v>253</v>
      </c>
      <c r="G143" s="54" t="s">
        <v>23</v>
      </c>
      <c r="H143" s="124" t="s">
        <v>811</v>
      </c>
      <c r="I143" s="124"/>
      <c r="J143" s="37">
        <v>190</v>
      </c>
      <c r="K143" s="37"/>
      <c r="L143" s="127">
        <v>378</v>
      </c>
      <c r="M143" s="98" t="s">
        <v>766</v>
      </c>
      <c r="N143" s="2"/>
    </row>
    <row r="144" spans="1:14" ht="14.4">
      <c r="A144" s="42">
        <v>45696</v>
      </c>
      <c r="B144" s="123" t="s">
        <v>812</v>
      </c>
      <c r="C144" s="124" t="s">
        <v>813</v>
      </c>
      <c r="D144" s="125" t="s">
        <v>453</v>
      </c>
      <c r="E144" s="126" t="s">
        <v>519</v>
      </c>
      <c r="F144" s="54" t="s">
        <v>252</v>
      </c>
      <c r="G144" s="54" t="s">
        <v>23</v>
      </c>
      <c r="H144" s="124" t="s">
        <v>789</v>
      </c>
      <c r="I144" s="124"/>
      <c r="J144" s="37"/>
      <c r="K144" s="37"/>
      <c r="L144" s="127">
        <v>25</v>
      </c>
      <c r="M144" s="98" t="s">
        <v>766</v>
      </c>
      <c r="N144" s="2"/>
    </row>
    <row r="145" spans="1:14" ht="14.4">
      <c r="A145" s="42">
        <v>45696</v>
      </c>
      <c r="B145" s="123" t="s">
        <v>814</v>
      </c>
      <c r="C145" s="124"/>
      <c r="D145" s="125" t="s">
        <v>467</v>
      </c>
      <c r="E145" s="126" t="s">
        <v>519</v>
      </c>
      <c r="F145" s="54"/>
      <c r="G145" s="54" t="s">
        <v>27</v>
      </c>
      <c r="H145" s="124" t="s">
        <v>815</v>
      </c>
      <c r="I145" s="124"/>
      <c r="J145" s="37"/>
      <c r="K145" s="37"/>
      <c r="L145" s="127">
        <v>190</v>
      </c>
      <c r="M145" s="98" t="s">
        <v>645</v>
      </c>
      <c r="N145" s="2"/>
    </row>
    <row r="146" spans="1:14" ht="14.4">
      <c r="A146" s="42">
        <v>45696</v>
      </c>
      <c r="B146" s="123" t="s">
        <v>814</v>
      </c>
      <c r="C146" s="124"/>
      <c r="D146" s="125" t="s">
        <v>467</v>
      </c>
      <c r="E146" s="126" t="s">
        <v>519</v>
      </c>
      <c r="F146" s="54"/>
      <c r="G146" s="54" t="s">
        <v>27</v>
      </c>
      <c r="H146" s="124" t="s">
        <v>815</v>
      </c>
      <c r="I146" s="124"/>
      <c r="J146" s="37"/>
      <c r="K146" s="37"/>
      <c r="L146" s="127">
        <v>290</v>
      </c>
      <c r="M146" s="98" t="s">
        <v>645</v>
      </c>
      <c r="N146" s="2"/>
    </row>
    <row r="147" spans="1:14" ht="14.4">
      <c r="A147" s="42">
        <v>45697</v>
      </c>
      <c r="B147" s="123" t="s">
        <v>816</v>
      </c>
      <c r="C147" s="124"/>
      <c r="D147" s="125" t="s">
        <v>588</v>
      </c>
      <c r="E147" s="126" t="s">
        <v>519</v>
      </c>
      <c r="F147" s="54" t="s">
        <v>463</v>
      </c>
      <c r="G147" s="54" t="s">
        <v>40</v>
      </c>
      <c r="H147" s="124" t="s">
        <v>531</v>
      </c>
      <c r="I147" s="124"/>
      <c r="J147" s="37"/>
      <c r="K147" s="37"/>
      <c r="L147" s="127">
        <v>100</v>
      </c>
      <c r="M147" s="98" t="s">
        <v>645</v>
      </c>
      <c r="N147" s="2"/>
    </row>
    <row r="148" spans="1:14" ht="14.4">
      <c r="A148" s="42">
        <v>45697</v>
      </c>
      <c r="B148" s="123" t="s">
        <v>817</v>
      </c>
      <c r="C148" s="124"/>
      <c r="D148" s="125"/>
      <c r="E148" s="126"/>
      <c r="F148" s="54"/>
      <c r="G148" s="54"/>
      <c r="H148" s="124"/>
      <c r="I148" s="124"/>
      <c r="J148" s="37"/>
      <c r="K148" s="37"/>
      <c r="L148" s="127">
        <v>130</v>
      </c>
      <c r="M148" s="98" t="s">
        <v>645</v>
      </c>
      <c r="N148" s="2"/>
    </row>
    <row r="149" spans="1:14" ht="14.4">
      <c r="A149" s="42">
        <v>45698</v>
      </c>
      <c r="B149" s="123" t="s">
        <v>818</v>
      </c>
      <c r="C149" s="124" t="s">
        <v>819</v>
      </c>
      <c r="D149" s="125" t="s">
        <v>502</v>
      </c>
      <c r="E149" s="126" t="s">
        <v>519</v>
      </c>
      <c r="F149" s="54" t="s">
        <v>33</v>
      </c>
      <c r="G149" s="54" t="s">
        <v>23</v>
      </c>
      <c r="H149" s="124" t="s">
        <v>820</v>
      </c>
      <c r="I149" s="124"/>
      <c r="J149" s="37">
        <v>55</v>
      </c>
      <c r="K149" s="37"/>
      <c r="L149" s="127">
        <v>705</v>
      </c>
      <c r="M149" s="98" t="s">
        <v>742</v>
      </c>
      <c r="N149" s="2"/>
    </row>
    <row r="150" spans="1:14" ht="14.4">
      <c r="A150" s="42">
        <v>45698</v>
      </c>
      <c r="B150" s="123" t="s">
        <v>821</v>
      </c>
      <c r="C150" s="124" t="s">
        <v>822</v>
      </c>
      <c r="D150" s="125" t="s">
        <v>498</v>
      </c>
      <c r="E150" s="126" t="s">
        <v>447</v>
      </c>
      <c r="F150" s="54" t="s">
        <v>253</v>
      </c>
      <c r="G150" s="54" t="s">
        <v>23</v>
      </c>
      <c r="H150" s="124" t="s">
        <v>777</v>
      </c>
      <c r="I150" s="124"/>
      <c r="J150" s="37">
        <v>107.6</v>
      </c>
      <c r="K150" s="37"/>
      <c r="L150" s="127">
        <v>269</v>
      </c>
      <c r="M150" s="98" t="s">
        <v>742</v>
      </c>
      <c r="N150" s="2"/>
    </row>
    <row r="151" spans="1:14" ht="14.4">
      <c r="A151" s="42">
        <v>45698</v>
      </c>
      <c r="B151" s="123" t="s">
        <v>823</v>
      </c>
      <c r="C151" s="124" t="s">
        <v>824</v>
      </c>
      <c r="D151" s="125" t="s">
        <v>502</v>
      </c>
      <c r="E151" s="126" t="s">
        <v>519</v>
      </c>
      <c r="F151" s="54" t="s">
        <v>252</v>
      </c>
      <c r="G151" s="54" t="s">
        <v>23</v>
      </c>
      <c r="H151" s="124" t="s">
        <v>825</v>
      </c>
      <c r="I151" s="124"/>
      <c r="J151" s="37"/>
      <c r="K151" s="37"/>
      <c r="L151" s="127">
        <v>35</v>
      </c>
      <c r="M151" s="98" t="s">
        <v>766</v>
      </c>
      <c r="N151" s="2"/>
    </row>
    <row r="152" spans="1:14" ht="14.4">
      <c r="A152" s="42">
        <v>45698</v>
      </c>
      <c r="B152" s="123" t="s">
        <v>826</v>
      </c>
      <c r="C152" s="124" t="s">
        <v>827</v>
      </c>
      <c r="D152" s="125" t="s">
        <v>453</v>
      </c>
      <c r="E152" s="126" t="s">
        <v>519</v>
      </c>
      <c r="F152" s="54" t="s">
        <v>35</v>
      </c>
      <c r="G152" s="54" t="s">
        <v>23</v>
      </c>
      <c r="H152" s="124" t="s">
        <v>828</v>
      </c>
      <c r="I152" s="124"/>
      <c r="J152" s="37">
        <v>174</v>
      </c>
      <c r="K152" s="37"/>
      <c r="L152" s="127">
        <v>435</v>
      </c>
      <c r="M152" s="98" t="s">
        <v>742</v>
      </c>
      <c r="N152" s="2"/>
    </row>
    <row r="153" spans="1:14" ht="14.4">
      <c r="A153" s="42">
        <v>45698</v>
      </c>
      <c r="B153" s="123" t="s">
        <v>829</v>
      </c>
      <c r="C153" s="124" t="s">
        <v>830</v>
      </c>
      <c r="D153" s="125" t="s">
        <v>446</v>
      </c>
      <c r="E153" s="126" t="s">
        <v>519</v>
      </c>
      <c r="F153" s="54" t="s">
        <v>252</v>
      </c>
      <c r="G153" s="54" t="s">
        <v>23</v>
      </c>
      <c r="H153" s="124" t="s">
        <v>831</v>
      </c>
      <c r="I153" s="124"/>
      <c r="J153" s="37"/>
      <c r="K153" s="37"/>
      <c r="L153" s="127">
        <v>50</v>
      </c>
      <c r="M153" s="98" t="s">
        <v>766</v>
      </c>
      <c r="N153" s="2"/>
    </row>
    <row r="154" spans="1:14" ht="14.4">
      <c r="A154" s="42">
        <v>45698</v>
      </c>
      <c r="B154" s="123" t="s">
        <v>780</v>
      </c>
      <c r="C154" s="124"/>
      <c r="D154" s="125"/>
      <c r="E154" s="126"/>
      <c r="F154" s="54"/>
      <c r="G154" s="54"/>
      <c r="H154" s="124"/>
      <c r="I154" s="124"/>
      <c r="J154" s="37"/>
      <c r="K154" s="37"/>
      <c r="L154" s="127">
        <v>190</v>
      </c>
      <c r="M154" s="98" t="s">
        <v>645</v>
      </c>
      <c r="N154" s="2"/>
    </row>
    <row r="155" spans="1:14" ht="14.4">
      <c r="A155" s="42">
        <v>45699</v>
      </c>
      <c r="B155" s="123" t="s">
        <v>832</v>
      </c>
      <c r="C155" s="124" t="s">
        <v>833</v>
      </c>
      <c r="D155" s="125" t="s">
        <v>498</v>
      </c>
      <c r="E155" s="126" t="s">
        <v>447</v>
      </c>
      <c r="F155" s="54" t="s">
        <v>253</v>
      </c>
      <c r="G155" s="54" t="s">
        <v>23</v>
      </c>
      <c r="H155" s="124" t="s">
        <v>569</v>
      </c>
      <c r="I155" s="124"/>
      <c r="J155" s="37">
        <v>142.5</v>
      </c>
      <c r="K155" s="37"/>
      <c r="L155" s="127">
        <v>285</v>
      </c>
      <c r="M155" s="98" t="s">
        <v>742</v>
      </c>
      <c r="N155" s="2" t="s">
        <v>185</v>
      </c>
    </row>
    <row r="156" spans="1:14" ht="14.4">
      <c r="A156" s="42">
        <v>45699</v>
      </c>
      <c r="B156" s="123" t="s">
        <v>834</v>
      </c>
      <c r="C156" s="124" t="s">
        <v>835</v>
      </c>
      <c r="D156" s="125" t="s">
        <v>453</v>
      </c>
      <c r="E156" s="126" t="s">
        <v>447</v>
      </c>
      <c r="F156" s="54" t="s">
        <v>22</v>
      </c>
      <c r="G156" s="54" t="s">
        <v>23</v>
      </c>
      <c r="H156" s="124" t="s">
        <v>836</v>
      </c>
      <c r="I156" s="124"/>
      <c r="J156" s="37">
        <v>98</v>
      </c>
      <c r="K156" s="37"/>
      <c r="L156" s="127">
        <v>175</v>
      </c>
      <c r="M156" s="98" t="s">
        <v>742</v>
      </c>
      <c r="N156" s="2"/>
    </row>
    <row r="157" spans="1:14" ht="14.4">
      <c r="A157" s="65">
        <v>45699</v>
      </c>
      <c r="B157" s="61" t="s">
        <v>837</v>
      </c>
      <c r="C157" s="124" t="s">
        <v>838</v>
      </c>
      <c r="D157" s="125" t="s">
        <v>453</v>
      </c>
      <c r="E157" s="126" t="s">
        <v>519</v>
      </c>
      <c r="F157" s="54" t="s">
        <v>22</v>
      </c>
      <c r="G157" s="54" t="s">
        <v>23</v>
      </c>
      <c r="H157" s="124" t="s">
        <v>839</v>
      </c>
      <c r="I157" s="124"/>
      <c r="J157" s="37"/>
      <c r="K157" s="37"/>
      <c r="L157" s="63">
        <v>199</v>
      </c>
      <c r="M157" s="64" t="s">
        <v>840</v>
      </c>
      <c r="N157" s="2"/>
    </row>
    <row r="158" spans="1:14" ht="14.4">
      <c r="A158" s="65">
        <v>45699</v>
      </c>
      <c r="B158" s="61" t="s">
        <v>841</v>
      </c>
      <c r="C158" s="124"/>
      <c r="D158" s="125"/>
      <c r="E158" s="126"/>
      <c r="F158" s="54"/>
      <c r="G158" s="54"/>
      <c r="H158" s="124"/>
      <c r="I158" s="124"/>
      <c r="J158" s="37"/>
      <c r="K158" s="37"/>
      <c r="L158" s="63">
        <v>130</v>
      </c>
      <c r="M158" s="98" t="s">
        <v>645</v>
      </c>
      <c r="N158" s="2"/>
    </row>
    <row r="159" spans="1:14" ht="14.4">
      <c r="A159" s="42">
        <v>45699</v>
      </c>
      <c r="B159" s="123" t="s">
        <v>842</v>
      </c>
      <c r="C159" s="124"/>
      <c r="D159" s="125" t="s">
        <v>588</v>
      </c>
      <c r="E159" s="126" t="s">
        <v>519</v>
      </c>
      <c r="F159" s="54" t="s">
        <v>463</v>
      </c>
      <c r="G159" s="54" t="s">
        <v>40</v>
      </c>
      <c r="H159" s="124" t="s">
        <v>531</v>
      </c>
      <c r="I159" s="124"/>
      <c r="J159" s="37"/>
      <c r="K159" s="37"/>
      <c r="L159" s="127">
        <v>80</v>
      </c>
      <c r="M159" s="98" t="s">
        <v>645</v>
      </c>
      <c r="N159" s="2"/>
    </row>
    <row r="160" spans="1:14" ht="14.4">
      <c r="A160" s="42">
        <v>45700</v>
      </c>
      <c r="B160" s="123" t="s">
        <v>843</v>
      </c>
      <c r="C160" s="124" t="s">
        <v>791</v>
      </c>
      <c r="D160" s="125" t="s">
        <v>453</v>
      </c>
      <c r="E160" s="126" t="s">
        <v>519</v>
      </c>
      <c r="F160" s="54" t="s">
        <v>33</v>
      </c>
      <c r="G160" s="54" t="s">
        <v>23</v>
      </c>
      <c r="H160" s="124" t="s">
        <v>844</v>
      </c>
      <c r="I160" s="124"/>
      <c r="J160" s="37">
        <v>445</v>
      </c>
      <c r="K160" s="37"/>
      <c r="L160" s="127">
        <v>990</v>
      </c>
      <c r="M160" s="98" t="s">
        <v>766</v>
      </c>
      <c r="N160" s="2"/>
    </row>
    <row r="161" spans="1:14" ht="14.4">
      <c r="A161" s="42">
        <v>45700</v>
      </c>
      <c r="B161" s="123" t="s">
        <v>845</v>
      </c>
      <c r="C161" s="124" t="s">
        <v>846</v>
      </c>
      <c r="D161" s="125" t="s">
        <v>446</v>
      </c>
      <c r="E161" s="126" t="s">
        <v>519</v>
      </c>
      <c r="F161" s="54" t="s">
        <v>252</v>
      </c>
      <c r="G161" s="54" t="s">
        <v>23</v>
      </c>
      <c r="H161" s="124" t="s">
        <v>847</v>
      </c>
      <c r="I161" s="124"/>
      <c r="J161" s="37">
        <v>175</v>
      </c>
      <c r="K161" s="37"/>
      <c r="L161" s="127">
        <v>350</v>
      </c>
      <c r="M161" s="98" t="s">
        <v>742</v>
      </c>
      <c r="N161" s="2"/>
    </row>
    <row r="162" spans="1:14" ht="14.4">
      <c r="A162" s="42">
        <v>45700</v>
      </c>
      <c r="B162" s="123" t="s">
        <v>848</v>
      </c>
      <c r="C162" s="124" t="s">
        <v>819</v>
      </c>
      <c r="D162" s="125" t="s">
        <v>498</v>
      </c>
      <c r="E162" s="126" t="s">
        <v>447</v>
      </c>
      <c r="F162" s="54" t="s">
        <v>253</v>
      </c>
      <c r="G162" s="54" t="s">
        <v>23</v>
      </c>
      <c r="H162" s="124" t="s">
        <v>849</v>
      </c>
      <c r="I162" s="124"/>
      <c r="J162" s="37">
        <v>200</v>
      </c>
      <c r="K162" s="37"/>
      <c r="L162" s="127">
        <v>200</v>
      </c>
      <c r="M162" s="98" t="s">
        <v>742</v>
      </c>
      <c r="N162" s="2"/>
    </row>
    <row r="163" spans="1:14" ht="14.4">
      <c r="A163" s="42">
        <v>45700</v>
      </c>
      <c r="B163" s="123" t="s">
        <v>850</v>
      </c>
      <c r="C163" s="124" t="s">
        <v>851</v>
      </c>
      <c r="D163" s="125" t="s">
        <v>453</v>
      </c>
      <c r="E163" s="126" t="s">
        <v>447</v>
      </c>
      <c r="F163" s="54" t="s">
        <v>252</v>
      </c>
      <c r="G163" s="54" t="s">
        <v>23</v>
      </c>
      <c r="H163" s="124" t="s">
        <v>847</v>
      </c>
      <c r="I163" s="124"/>
      <c r="J163" s="37">
        <v>90</v>
      </c>
      <c r="K163" s="37"/>
      <c r="L163" s="127">
        <v>180</v>
      </c>
      <c r="M163" s="98" t="s">
        <v>742</v>
      </c>
      <c r="N163" s="2"/>
    </row>
    <row r="164" spans="1:14" ht="14.4">
      <c r="A164" s="42">
        <v>45700</v>
      </c>
      <c r="B164" s="123" t="s">
        <v>852</v>
      </c>
      <c r="C164" s="135">
        <f>573197715018</f>
        <v>573197715018</v>
      </c>
      <c r="D164" s="125" t="s">
        <v>530</v>
      </c>
      <c r="E164" s="126" t="s">
        <v>519</v>
      </c>
      <c r="F164" s="54"/>
      <c r="G164" s="54"/>
      <c r="H164" s="124" t="s">
        <v>853</v>
      </c>
      <c r="I164" s="124"/>
      <c r="J164" s="37"/>
      <c r="K164" s="37"/>
      <c r="L164" s="127">
        <v>291.97000000000003</v>
      </c>
      <c r="M164" s="64" t="s">
        <v>840</v>
      </c>
      <c r="N164" s="2" t="s">
        <v>185</v>
      </c>
    </row>
    <row r="165" spans="1:14" ht="14.4">
      <c r="A165" s="42">
        <v>45700</v>
      </c>
      <c r="B165" s="123" t="s">
        <v>854</v>
      </c>
      <c r="C165" s="136"/>
      <c r="D165" s="125"/>
      <c r="E165" s="126" t="s">
        <v>519</v>
      </c>
      <c r="F165" s="54"/>
      <c r="G165" s="54"/>
      <c r="H165" s="124"/>
      <c r="I165" s="124"/>
      <c r="J165" s="37"/>
      <c r="K165" s="37"/>
      <c r="L165" s="127">
        <v>223.2</v>
      </c>
      <c r="M165" s="98" t="s">
        <v>645</v>
      </c>
      <c r="N165" s="2"/>
    </row>
    <row r="166" spans="1:14" ht="14.4">
      <c r="A166" s="42">
        <v>45700</v>
      </c>
      <c r="B166" s="137" t="s">
        <v>855</v>
      </c>
      <c r="C166" s="124" t="s">
        <v>856</v>
      </c>
      <c r="D166" s="125"/>
      <c r="E166" s="126"/>
      <c r="F166" s="54" t="s">
        <v>252</v>
      </c>
      <c r="G166" s="54" t="s">
        <v>23</v>
      </c>
      <c r="H166" s="124" t="s">
        <v>857</v>
      </c>
      <c r="I166" s="124"/>
      <c r="J166" s="37">
        <v>95</v>
      </c>
      <c r="K166" s="37"/>
      <c r="L166" s="32">
        <v>95</v>
      </c>
      <c r="M166" s="98" t="s">
        <v>742</v>
      </c>
      <c r="N166" s="2"/>
    </row>
    <row r="167" spans="1:14" ht="14.4">
      <c r="A167" s="42">
        <v>45701</v>
      </c>
      <c r="B167" s="123" t="s">
        <v>858</v>
      </c>
      <c r="C167" s="124">
        <f>34631747813</f>
        <v>34631747813</v>
      </c>
      <c r="D167" s="125" t="s">
        <v>467</v>
      </c>
      <c r="E167" s="126" t="s">
        <v>519</v>
      </c>
      <c r="F167" s="54"/>
      <c r="G167" s="54" t="s">
        <v>27</v>
      </c>
      <c r="H167" s="124" t="s">
        <v>783</v>
      </c>
      <c r="I167" s="124"/>
      <c r="J167" s="37">
        <v>390</v>
      </c>
      <c r="K167" s="37"/>
      <c r="L167" s="127">
        <v>390</v>
      </c>
      <c r="M167" s="98" t="s">
        <v>742</v>
      </c>
      <c r="N167" s="2"/>
    </row>
    <row r="168" spans="1:14" ht="14.4">
      <c r="A168" s="65">
        <v>45701</v>
      </c>
      <c r="B168" s="61" t="s">
        <v>859</v>
      </c>
      <c r="C168" s="39" t="s">
        <v>860</v>
      </c>
      <c r="D168" s="20" t="s">
        <v>498</v>
      </c>
      <c r="E168" s="54" t="s">
        <v>519</v>
      </c>
      <c r="F168" s="54" t="s">
        <v>22</v>
      </c>
      <c r="G168" s="54" t="s">
        <v>23</v>
      </c>
      <c r="H168" s="39" t="s">
        <v>861</v>
      </c>
      <c r="I168" s="39"/>
      <c r="J168" s="44">
        <v>74</v>
      </c>
      <c r="K168" s="44"/>
      <c r="L168" s="63">
        <v>185</v>
      </c>
      <c r="M168" s="98" t="s">
        <v>742</v>
      </c>
      <c r="N168" s="2"/>
    </row>
    <row r="169" spans="1:14" ht="14.4">
      <c r="A169" s="65">
        <v>45701</v>
      </c>
      <c r="B169" s="61" t="s">
        <v>862</v>
      </c>
      <c r="C169" s="39" t="s">
        <v>863</v>
      </c>
      <c r="D169" s="20" t="s">
        <v>494</v>
      </c>
      <c r="E169" s="54" t="s">
        <v>519</v>
      </c>
      <c r="F169" s="54"/>
      <c r="G169" s="54" t="s">
        <v>25</v>
      </c>
      <c r="H169" s="39" t="s">
        <v>864</v>
      </c>
      <c r="I169" s="39"/>
      <c r="J169" s="44"/>
      <c r="K169" s="44"/>
      <c r="L169" s="63">
        <v>5990</v>
      </c>
      <c r="M169" s="98" t="s">
        <v>645</v>
      </c>
      <c r="N169" s="2"/>
    </row>
    <row r="170" spans="1:14" ht="14.4">
      <c r="A170" s="65">
        <v>45701</v>
      </c>
      <c r="B170" s="61" t="s">
        <v>865</v>
      </c>
      <c r="C170" s="39" t="s">
        <v>866</v>
      </c>
      <c r="D170" s="20" t="s">
        <v>467</v>
      </c>
      <c r="E170" s="54" t="s">
        <v>519</v>
      </c>
      <c r="F170" s="54"/>
      <c r="G170" s="54"/>
      <c r="H170" s="39" t="s">
        <v>867</v>
      </c>
      <c r="I170" s="39"/>
      <c r="J170" s="44" t="s">
        <v>14</v>
      </c>
      <c r="K170" s="44"/>
      <c r="L170" s="63">
        <v>190</v>
      </c>
      <c r="M170" s="98" t="s">
        <v>645</v>
      </c>
      <c r="N170" s="2"/>
    </row>
    <row r="171" spans="1:14" ht="14.4">
      <c r="A171" s="65">
        <v>45701</v>
      </c>
      <c r="B171" s="61" t="s">
        <v>868</v>
      </c>
      <c r="C171" s="62"/>
      <c r="D171" s="20" t="s">
        <v>446</v>
      </c>
      <c r="E171" s="54" t="s">
        <v>519</v>
      </c>
      <c r="F171" s="54" t="s">
        <v>252</v>
      </c>
      <c r="G171" s="54" t="s">
        <v>23</v>
      </c>
      <c r="H171" s="39" t="s">
        <v>869</v>
      </c>
      <c r="I171" s="39"/>
      <c r="J171" s="44"/>
      <c r="K171" s="44"/>
      <c r="L171" s="63">
        <v>60</v>
      </c>
      <c r="M171" s="64" t="s">
        <v>840</v>
      </c>
      <c r="N171" s="2"/>
    </row>
    <row r="172" spans="1:14" ht="14.4">
      <c r="A172" s="65">
        <v>45701</v>
      </c>
      <c r="B172" s="61" t="s">
        <v>870</v>
      </c>
      <c r="C172" s="39" t="s">
        <v>871</v>
      </c>
      <c r="D172" s="20" t="s">
        <v>446</v>
      </c>
      <c r="E172" s="54" t="s">
        <v>519</v>
      </c>
      <c r="F172" s="54" t="s">
        <v>252</v>
      </c>
      <c r="G172" s="54" t="s">
        <v>23</v>
      </c>
      <c r="H172" s="39" t="s">
        <v>872</v>
      </c>
      <c r="I172" s="39"/>
      <c r="J172" s="44"/>
      <c r="K172" s="44"/>
      <c r="L172" s="63">
        <v>120</v>
      </c>
      <c r="M172" s="64" t="s">
        <v>840</v>
      </c>
      <c r="N172" s="2"/>
    </row>
    <row r="173" spans="1:14" ht="14.4">
      <c r="A173" s="65">
        <v>45701</v>
      </c>
      <c r="B173" s="61" t="s">
        <v>842</v>
      </c>
      <c r="C173" s="39" t="s">
        <v>873</v>
      </c>
      <c r="D173" s="20"/>
      <c r="E173" s="54"/>
      <c r="F173" s="54"/>
      <c r="G173" s="54"/>
      <c r="H173" s="39"/>
      <c r="I173" s="39"/>
      <c r="J173" s="44"/>
      <c r="K173" s="44"/>
      <c r="L173" s="63">
        <v>45</v>
      </c>
      <c r="M173" s="98" t="s">
        <v>645</v>
      </c>
      <c r="N173" s="2"/>
    </row>
    <row r="174" spans="1:14" ht="14.4">
      <c r="A174" s="42">
        <v>45701</v>
      </c>
      <c r="B174" s="123" t="s">
        <v>874</v>
      </c>
      <c r="C174" s="124" t="s">
        <v>875</v>
      </c>
      <c r="D174" s="125" t="s">
        <v>502</v>
      </c>
      <c r="E174" s="126" t="s">
        <v>447</v>
      </c>
      <c r="F174" s="54" t="s">
        <v>252</v>
      </c>
      <c r="G174" s="54" t="s">
        <v>23</v>
      </c>
      <c r="H174" s="124" t="s">
        <v>876</v>
      </c>
      <c r="I174" s="124"/>
      <c r="J174" s="37"/>
      <c r="K174" s="37"/>
      <c r="L174" s="127">
        <v>60</v>
      </c>
      <c r="M174" s="98" t="s">
        <v>766</v>
      </c>
      <c r="N174" s="2"/>
    </row>
    <row r="175" spans="1:14" ht="14.4">
      <c r="A175" s="65">
        <v>45702</v>
      </c>
      <c r="B175" s="61" t="s">
        <v>877</v>
      </c>
      <c r="C175" s="39" t="s">
        <v>878</v>
      </c>
      <c r="D175" s="20" t="s">
        <v>446</v>
      </c>
      <c r="E175" s="54" t="s">
        <v>447</v>
      </c>
      <c r="F175" s="54" t="s">
        <v>252</v>
      </c>
      <c r="G175" s="54" t="s">
        <v>23</v>
      </c>
      <c r="H175" s="39" t="s">
        <v>879</v>
      </c>
      <c r="I175" s="39"/>
      <c r="J175" s="44"/>
      <c r="K175" s="44"/>
      <c r="L175" s="63">
        <v>35</v>
      </c>
      <c r="M175" s="98" t="s">
        <v>766</v>
      </c>
      <c r="N175" s="2"/>
    </row>
    <row r="176" spans="1:14" ht="14.4">
      <c r="A176" s="65">
        <v>45702</v>
      </c>
      <c r="B176" s="61" t="s">
        <v>842</v>
      </c>
      <c r="C176" s="39" t="s">
        <v>880</v>
      </c>
      <c r="D176" s="20"/>
      <c r="E176" s="54"/>
      <c r="F176" s="54"/>
      <c r="G176" s="54"/>
      <c r="H176" s="39"/>
      <c r="I176" s="39"/>
      <c r="J176" s="44"/>
      <c r="K176" s="44"/>
      <c r="L176" s="63">
        <v>80</v>
      </c>
      <c r="M176" s="98" t="s">
        <v>645</v>
      </c>
      <c r="N176" s="2"/>
    </row>
    <row r="177" spans="1:14" ht="14.4">
      <c r="A177" s="65">
        <v>45703</v>
      </c>
      <c r="B177" s="61" t="s">
        <v>881</v>
      </c>
      <c r="C177" s="39" t="s">
        <v>882</v>
      </c>
      <c r="D177" s="20" t="s">
        <v>483</v>
      </c>
      <c r="E177" s="54" t="s">
        <v>519</v>
      </c>
      <c r="F177" s="54" t="s">
        <v>463</v>
      </c>
      <c r="G177" s="54" t="s">
        <v>40</v>
      </c>
      <c r="H177" s="39" t="s">
        <v>883</v>
      </c>
      <c r="I177" s="39"/>
      <c r="J177" s="44">
        <v>80</v>
      </c>
      <c r="K177" s="44"/>
      <c r="L177" s="63">
        <v>80</v>
      </c>
      <c r="M177" s="64" t="s">
        <v>840</v>
      </c>
      <c r="N177" s="6"/>
    </row>
    <row r="178" spans="1:14" ht="14.4">
      <c r="A178" s="65">
        <v>45703</v>
      </c>
      <c r="B178" s="61" t="s">
        <v>884</v>
      </c>
      <c r="C178" s="39" t="s">
        <v>885</v>
      </c>
      <c r="D178" s="20" t="s">
        <v>453</v>
      </c>
      <c r="E178" s="54" t="s">
        <v>519</v>
      </c>
      <c r="F178" s="54" t="s">
        <v>252</v>
      </c>
      <c r="G178" s="54" t="s">
        <v>23</v>
      </c>
      <c r="H178" s="39" t="s">
        <v>886</v>
      </c>
      <c r="I178" s="39"/>
      <c r="J178" s="44">
        <v>50</v>
      </c>
      <c r="K178" s="44"/>
      <c r="L178" s="63">
        <v>50</v>
      </c>
      <c r="M178" s="64" t="s">
        <v>840</v>
      </c>
      <c r="N178" s="2"/>
    </row>
    <row r="179" spans="1:14" ht="14.4">
      <c r="A179" s="65">
        <v>45703</v>
      </c>
      <c r="B179" s="61" t="s">
        <v>887</v>
      </c>
      <c r="C179" s="62" t="s">
        <v>888</v>
      </c>
      <c r="D179" s="20" t="s">
        <v>446</v>
      </c>
      <c r="E179" s="54" t="s">
        <v>447</v>
      </c>
      <c r="F179" s="54" t="s">
        <v>252</v>
      </c>
      <c r="G179" s="54" t="s">
        <v>23</v>
      </c>
      <c r="H179" s="39" t="s">
        <v>889</v>
      </c>
      <c r="I179" s="39"/>
      <c r="J179" s="44"/>
      <c r="K179" s="44"/>
      <c r="L179" s="63">
        <v>70.8</v>
      </c>
      <c r="M179" s="98" t="s">
        <v>766</v>
      </c>
      <c r="N179" s="2"/>
    </row>
    <row r="180" spans="1:14" ht="14.4">
      <c r="A180" s="65">
        <v>45703</v>
      </c>
      <c r="B180" s="61" t="s">
        <v>884</v>
      </c>
      <c r="C180" s="39" t="s">
        <v>890</v>
      </c>
      <c r="D180" s="20" t="s">
        <v>453</v>
      </c>
      <c r="E180" s="54" t="s">
        <v>519</v>
      </c>
      <c r="F180" s="54" t="s">
        <v>252</v>
      </c>
      <c r="G180" s="54" t="s">
        <v>23</v>
      </c>
      <c r="H180" s="39" t="s">
        <v>891</v>
      </c>
      <c r="I180" s="39"/>
      <c r="J180" s="44">
        <v>287.5</v>
      </c>
      <c r="K180" s="44"/>
      <c r="L180" s="63">
        <f>J180+K180</f>
        <v>287.5</v>
      </c>
      <c r="M180" s="64" t="s">
        <v>840</v>
      </c>
      <c r="N180" s="2"/>
    </row>
    <row r="181" spans="1:14" ht="14.4">
      <c r="A181" s="65">
        <v>45703</v>
      </c>
      <c r="B181" s="61" t="s">
        <v>892</v>
      </c>
      <c r="C181" s="39" t="s">
        <v>893</v>
      </c>
      <c r="D181" s="20" t="s">
        <v>446</v>
      </c>
      <c r="E181" s="54" t="s">
        <v>519</v>
      </c>
      <c r="F181" s="54" t="s">
        <v>22</v>
      </c>
      <c r="G181" s="54" t="s">
        <v>23</v>
      </c>
      <c r="H181" s="39" t="s">
        <v>861</v>
      </c>
      <c r="I181" s="39"/>
      <c r="J181" s="44"/>
      <c r="K181" s="44"/>
      <c r="L181" s="63">
        <v>120</v>
      </c>
      <c r="M181" s="64" t="s">
        <v>840</v>
      </c>
      <c r="N181" s="2"/>
    </row>
    <row r="182" spans="1:14" ht="14.4">
      <c r="A182" s="65">
        <v>45703</v>
      </c>
      <c r="B182" s="61" t="s">
        <v>894</v>
      </c>
      <c r="C182" s="39" t="s">
        <v>895</v>
      </c>
      <c r="D182" s="20" t="s">
        <v>502</v>
      </c>
      <c r="E182" s="54" t="s">
        <v>519</v>
      </c>
      <c r="F182" s="54" t="s">
        <v>252</v>
      </c>
      <c r="G182" s="54" t="s">
        <v>23</v>
      </c>
      <c r="H182" s="39" t="s">
        <v>869</v>
      </c>
      <c r="I182" s="39"/>
      <c r="J182" s="44"/>
      <c r="K182" s="44"/>
      <c r="L182" s="63">
        <v>60</v>
      </c>
      <c r="M182" s="98" t="s">
        <v>766</v>
      </c>
      <c r="N182" s="2"/>
    </row>
    <row r="183" spans="1:14" ht="14.4">
      <c r="A183" s="42">
        <v>45703</v>
      </c>
      <c r="B183" s="123" t="s">
        <v>881</v>
      </c>
      <c r="C183" s="124" t="s">
        <v>896</v>
      </c>
      <c r="D183" s="125" t="s">
        <v>483</v>
      </c>
      <c r="E183" s="126" t="s">
        <v>519</v>
      </c>
      <c r="F183" s="54" t="s">
        <v>487</v>
      </c>
      <c r="G183" s="54" t="s">
        <v>40</v>
      </c>
      <c r="H183" s="124" t="s">
        <v>672</v>
      </c>
      <c r="I183" s="124"/>
      <c r="J183" s="37"/>
      <c r="K183" s="37"/>
      <c r="L183" s="127" t="s">
        <v>897</v>
      </c>
      <c r="M183" s="64" t="s">
        <v>840</v>
      </c>
      <c r="N183" s="2"/>
    </row>
    <row r="184" spans="1:14" ht="14.4">
      <c r="A184" s="42">
        <v>45703</v>
      </c>
      <c r="B184" s="123" t="s">
        <v>898</v>
      </c>
      <c r="C184" s="124" t="s">
        <v>899</v>
      </c>
      <c r="D184" s="125" t="s">
        <v>483</v>
      </c>
      <c r="E184" s="126" t="s">
        <v>519</v>
      </c>
      <c r="F184" s="54" t="s">
        <v>463</v>
      </c>
      <c r="G184" s="54" t="s">
        <v>40</v>
      </c>
      <c r="H184" s="124" t="s">
        <v>900</v>
      </c>
      <c r="I184" s="124"/>
      <c r="J184" s="37"/>
      <c r="K184" s="37"/>
      <c r="L184" s="127">
        <v>50</v>
      </c>
      <c r="M184" s="64" t="s">
        <v>840</v>
      </c>
      <c r="N184" s="2"/>
    </row>
    <row r="185" spans="1:14" ht="14.4">
      <c r="A185" s="42">
        <v>45703</v>
      </c>
      <c r="B185" s="123" t="s">
        <v>901</v>
      </c>
      <c r="C185" s="124"/>
      <c r="D185" s="125" t="s">
        <v>467</v>
      </c>
      <c r="E185" s="126" t="s">
        <v>519</v>
      </c>
      <c r="F185" s="54"/>
      <c r="G185" s="54"/>
      <c r="H185" s="124" t="s">
        <v>867</v>
      </c>
      <c r="I185" s="124"/>
      <c r="J185" s="37"/>
      <c r="K185" s="37"/>
      <c r="L185" s="127">
        <v>625</v>
      </c>
      <c r="M185" s="98" t="s">
        <v>645</v>
      </c>
      <c r="N185" s="2"/>
    </row>
    <row r="186" spans="1:14" ht="14.4">
      <c r="A186" s="42">
        <v>45703</v>
      </c>
      <c r="B186" s="123" t="s">
        <v>816</v>
      </c>
      <c r="C186" s="124"/>
      <c r="D186" s="125" t="s">
        <v>588</v>
      </c>
      <c r="E186" s="126"/>
      <c r="F186" s="54" t="s">
        <v>463</v>
      </c>
      <c r="G186" s="54" t="s">
        <v>40</v>
      </c>
      <c r="H186" s="124" t="s">
        <v>531</v>
      </c>
      <c r="I186" s="124"/>
      <c r="J186" s="37"/>
      <c r="K186" s="37"/>
      <c r="L186" s="127">
        <v>50</v>
      </c>
      <c r="M186" s="98" t="s">
        <v>645</v>
      </c>
      <c r="N186" s="2"/>
    </row>
    <row r="187" spans="1:14" ht="14.4">
      <c r="A187" s="42">
        <v>45703</v>
      </c>
      <c r="B187" s="123" t="s">
        <v>902</v>
      </c>
      <c r="C187" s="124"/>
      <c r="D187" s="125" t="s">
        <v>588</v>
      </c>
      <c r="E187" s="126"/>
      <c r="F187" s="54"/>
      <c r="G187" s="54"/>
      <c r="H187" s="124"/>
      <c r="I187" s="124"/>
      <c r="J187" s="37"/>
      <c r="K187" s="37"/>
      <c r="L187" s="127">
        <v>110</v>
      </c>
      <c r="M187" s="98" t="s">
        <v>645</v>
      </c>
      <c r="N187" s="2"/>
    </row>
    <row r="188" spans="1:14" ht="14.4">
      <c r="A188" s="42">
        <v>45705</v>
      </c>
      <c r="B188" s="123" t="s">
        <v>903</v>
      </c>
      <c r="C188" s="124" t="s">
        <v>904</v>
      </c>
      <c r="D188" s="125" t="s">
        <v>453</v>
      </c>
      <c r="E188" s="126" t="s">
        <v>447</v>
      </c>
      <c r="F188" s="54" t="s">
        <v>252</v>
      </c>
      <c r="G188" s="54" t="s">
        <v>23</v>
      </c>
      <c r="H188" s="124" t="s">
        <v>905</v>
      </c>
      <c r="I188" s="124"/>
      <c r="J188" s="37">
        <v>450</v>
      </c>
      <c r="K188" s="37"/>
      <c r="L188" s="127">
        <v>954</v>
      </c>
      <c r="M188" s="98" t="s">
        <v>766</v>
      </c>
      <c r="N188" s="2"/>
    </row>
    <row r="189" spans="1:14" ht="14.4">
      <c r="A189" s="42">
        <v>45705</v>
      </c>
      <c r="B189" s="123" t="s">
        <v>906</v>
      </c>
      <c r="C189" s="124" t="s">
        <v>907</v>
      </c>
      <c r="D189" s="125" t="s">
        <v>446</v>
      </c>
      <c r="E189" s="126" t="s">
        <v>519</v>
      </c>
      <c r="F189" s="54" t="s">
        <v>252</v>
      </c>
      <c r="G189" s="54" t="s">
        <v>23</v>
      </c>
      <c r="H189" s="124" t="s">
        <v>869</v>
      </c>
      <c r="I189" s="124"/>
      <c r="J189" s="37"/>
      <c r="K189" s="37"/>
      <c r="L189" s="127">
        <v>80</v>
      </c>
      <c r="M189" s="98" t="s">
        <v>742</v>
      </c>
      <c r="N189" s="2"/>
    </row>
    <row r="190" spans="1:14" ht="14.4">
      <c r="A190" s="42">
        <v>45705</v>
      </c>
      <c r="B190" s="123" t="s">
        <v>887</v>
      </c>
      <c r="C190" s="124" t="s">
        <v>888</v>
      </c>
      <c r="D190" s="125" t="s">
        <v>446</v>
      </c>
      <c r="E190" s="126" t="s">
        <v>519</v>
      </c>
      <c r="F190" s="54" t="s">
        <v>33</v>
      </c>
      <c r="G190" s="54" t="s">
        <v>23</v>
      </c>
      <c r="H190" s="124" t="s">
        <v>908</v>
      </c>
      <c r="I190" s="124"/>
      <c r="J190" s="37">
        <v>986</v>
      </c>
      <c r="K190" s="37"/>
      <c r="L190" s="127">
        <v>1181</v>
      </c>
      <c r="M190" s="98" t="s">
        <v>766</v>
      </c>
      <c r="N190" s="2"/>
    </row>
    <row r="191" spans="1:14" ht="14.4">
      <c r="A191" s="42">
        <v>45705</v>
      </c>
      <c r="B191" s="123" t="s">
        <v>755</v>
      </c>
      <c r="C191" s="124"/>
      <c r="D191" s="125" t="s">
        <v>588</v>
      </c>
      <c r="E191" s="126"/>
      <c r="F191" s="54" t="s">
        <v>463</v>
      </c>
      <c r="G191" s="54" t="s">
        <v>40</v>
      </c>
      <c r="H191" s="124" t="s">
        <v>531</v>
      </c>
      <c r="I191" s="124"/>
      <c r="J191" s="37"/>
      <c r="K191" s="37"/>
      <c r="L191" s="127">
        <v>148.05000000000001</v>
      </c>
      <c r="M191" s="98" t="s">
        <v>645</v>
      </c>
      <c r="N191" s="2"/>
    </row>
    <row r="192" spans="1:14" ht="14.4">
      <c r="A192" s="42">
        <v>45706</v>
      </c>
      <c r="B192" s="123" t="s">
        <v>909</v>
      </c>
      <c r="C192" s="124" t="s">
        <v>910</v>
      </c>
      <c r="D192" s="125" t="s">
        <v>498</v>
      </c>
      <c r="E192" s="126" t="s">
        <v>447</v>
      </c>
      <c r="F192" s="54" t="s">
        <v>253</v>
      </c>
      <c r="G192" s="54" t="s">
        <v>23</v>
      </c>
      <c r="H192" s="124" t="s">
        <v>569</v>
      </c>
      <c r="I192" s="124"/>
      <c r="J192" s="37">
        <v>182</v>
      </c>
      <c r="K192" s="37"/>
      <c r="L192" s="127">
        <f>J192+K192</f>
        <v>182</v>
      </c>
      <c r="M192" s="98" t="s">
        <v>742</v>
      </c>
      <c r="N192" s="2"/>
    </row>
    <row r="193" spans="1:14" ht="14.4">
      <c r="A193" s="42">
        <v>45706</v>
      </c>
      <c r="B193" s="123" t="s">
        <v>911</v>
      </c>
      <c r="C193" s="124" t="s">
        <v>912</v>
      </c>
      <c r="D193" s="125" t="s">
        <v>467</v>
      </c>
      <c r="E193" s="126" t="s">
        <v>519</v>
      </c>
      <c r="F193" s="54"/>
      <c r="G193" s="54"/>
      <c r="H193" s="124" t="s">
        <v>913</v>
      </c>
      <c r="I193" s="124"/>
      <c r="J193" s="37">
        <v>190</v>
      </c>
      <c r="K193" s="37"/>
      <c r="L193" s="127">
        <v>190</v>
      </c>
      <c r="M193" s="98" t="s">
        <v>742</v>
      </c>
      <c r="N193" s="2"/>
    </row>
    <row r="194" spans="1:14" ht="14.4">
      <c r="A194" s="42">
        <v>45706</v>
      </c>
      <c r="B194" s="123" t="s">
        <v>914</v>
      </c>
      <c r="C194" s="124" t="s">
        <v>915</v>
      </c>
      <c r="D194" s="125" t="s">
        <v>498</v>
      </c>
      <c r="E194" s="126" t="s">
        <v>447</v>
      </c>
      <c r="F194" s="54" t="s">
        <v>22</v>
      </c>
      <c r="G194" s="54" t="s">
        <v>23</v>
      </c>
      <c r="H194" s="124" t="s">
        <v>916</v>
      </c>
      <c r="I194" s="124"/>
      <c r="J194" s="37">
        <v>129.5</v>
      </c>
      <c r="K194" s="37"/>
      <c r="L194" s="127">
        <v>259</v>
      </c>
      <c r="M194" s="98" t="s">
        <v>766</v>
      </c>
      <c r="N194" s="2"/>
    </row>
    <row r="195" spans="1:14" ht="14.4">
      <c r="A195" s="42">
        <v>45706</v>
      </c>
      <c r="B195" s="123" t="s">
        <v>917</v>
      </c>
      <c r="C195" s="124" t="s">
        <v>918</v>
      </c>
      <c r="D195" s="125" t="s">
        <v>502</v>
      </c>
      <c r="E195" s="126" t="s">
        <v>519</v>
      </c>
      <c r="F195" s="54" t="s">
        <v>252</v>
      </c>
      <c r="G195" s="54" t="s">
        <v>23</v>
      </c>
      <c r="H195" s="124" t="s">
        <v>919</v>
      </c>
      <c r="I195" s="124"/>
      <c r="J195" s="37"/>
      <c r="K195" s="37"/>
      <c r="L195" s="127">
        <v>45</v>
      </c>
      <c r="M195" s="98" t="s">
        <v>766</v>
      </c>
      <c r="N195" s="2"/>
    </row>
    <row r="196" spans="1:14" ht="14.4">
      <c r="A196" s="42">
        <v>45706</v>
      </c>
      <c r="B196" s="123" t="s">
        <v>920</v>
      </c>
      <c r="C196" s="124"/>
      <c r="D196" s="125" t="s">
        <v>467</v>
      </c>
      <c r="E196" s="126" t="s">
        <v>519</v>
      </c>
      <c r="F196" s="54"/>
      <c r="G196" s="54" t="s">
        <v>27</v>
      </c>
      <c r="H196" s="124" t="s">
        <v>867</v>
      </c>
      <c r="I196" s="124"/>
      <c r="J196" s="37"/>
      <c r="K196" s="37"/>
      <c r="L196" s="127">
        <v>625</v>
      </c>
      <c r="M196" s="98" t="s">
        <v>645</v>
      </c>
      <c r="N196" s="2"/>
    </row>
    <row r="197" spans="1:14" ht="14.4">
      <c r="A197" s="42">
        <v>45706</v>
      </c>
      <c r="B197" s="123" t="s">
        <v>921</v>
      </c>
      <c r="C197" s="124"/>
      <c r="D197" s="125" t="s">
        <v>530</v>
      </c>
      <c r="E197" s="126" t="s">
        <v>519</v>
      </c>
      <c r="F197" s="54" t="s">
        <v>463</v>
      </c>
      <c r="G197" s="54" t="s">
        <v>40</v>
      </c>
      <c r="H197" s="124" t="s">
        <v>900</v>
      </c>
      <c r="I197" s="124"/>
      <c r="J197" s="37"/>
      <c r="K197" s="37"/>
      <c r="L197" s="127">
        <v>45</v>
      </c>
      <c r="M197" s="98" t="s">
        <v>766</v>
      </c>
      <c r="N197" s="2"/>
    </row>
    <row r="198" spans="1:14" ht="14.4">
      <c r="A198" s="42">
        <v>45706</v>
      </c>
      <c r="B198" s="123" t="s">
        <v>922</v>
      </c>
      <c r="C198" s="124" t="s">
        <v>923</v>
      </c>
      <c r="D198" s="125" t="s">
        <v>462</v>
      </c>
      <c r="E198" s="126" t="s">
        <v>519</v>
      </c>
      <c r="F198" s="54" t="s">
        <v>463</v>
      </c>
      <c r="G198" s="54" t="s">
        <v>40</v>
      </c>
      <c r="H198" s="124" t="s">
        <v>924</v>
      </c>
      <c r="I198" s="124"/>
      <c r="J198" s="37"/>
      <c r="K198" s="37"/>
      <c r="L198" s="127">
        <v>110</v>
      </c>
      <c r="M198" s="98" t="s">
        <v>766</v>
      </c>
      <c r="N198" s="2"/>
    </row>
    <row r="199" spans="1:14" ht="14.4">
      <c r="A199" s="42">
        <v>45707</v>
      </c>
      <c r="B199" s="123" t="s">
        <v>925</v>
      </c>
      <c r="C199" s="124" t="s">
        <v>926</v>
      </c>
      <c r="D199" s="125" t="s">
        <v>446</v>
      </c>
      <c r="E199" s="126" t="s">
        <v>447</v>
      </c>
      <c r="F199" s="54" t="s">
        <v>252</v>
      </c>
      <c r="G199" s="54" t="s">
        <v>23</v>
      </c>
      <c r="H199" s="124" t="s">
        <v>927</v>
      </c>
      <c r="I199" s="124"/>
      <c r="J199" s="37">
        <v>282</v>
      </c>
      <c r="K199" s="37"/>
      <c r="L199" s="127">
        <v>565</v>
      </c>
      <c r="M199" s="98" t="s">
        <v>766</v>
      </c>
      <c r="N199" s="2"/>
    </row>
    <row r="200" spans="1:14" ht="14.4">
      <c r="A200" s="42">
        <v>45707</v>
      </c>
      <c r="B200" s="123" t="s">
        <v>928</v>
      </c>
      <c r="C200" s="134" t="s">
        <v>929</v>
      </c>
      <c r="D200" s="125" t="s">
        <v>446</v>
      </c>
      <c r="E200" s="126" t="s">
        <v>519</v>
      </c>
      <c r="F200" s="54" t="s">
        <v>252</v>
      </c>
      <c r="G200" s="54" t="s">
        <v>23</v>
      </c>
      <c r="H200" s="124" t="s">
        <v>930</v>
      </c>
      <c r="I200" s="124"/>
      <c r="J200" s="37"/>
      <c r="K200" s="37"/>
      <c r="L200" s="127">
        <v>45</v>
      </c>
      <c r="M200" s="98" t="s">
        <v>766</v>
      </c>
      <c r="N200" s="2"/>
    </row>
    <row r="201" spans="1:14" ht="14.4">
      <c r="A201" s="42">
        <v>45707</v>
      </c>
      <c r="B201" s="123" t="s">
        <v>931</v>
      </c>
      <c r="C201" s="124" t="s">
        <v>932</v>
      </c>
      <c r="D201" s="125" t="s">
        <v>453</v>
      </c>
      <c r="E201" s="126" t="s">
        <v>447</v>
      </c>
      <c r="F201" s="54" t="s">
        <v>252</v>
      </c>
      <c r="G201" s="54" t="s">
        <v>23</v>
      </c>
      <c r="H201" s="124" t="s">
        <v>769</v>
      </c>
      <c r="I201" s="124"/>
      <c r="J201" s="37">
        <v>185</v>
      </c>
      <c r="K201" s="37"/>
      <c r="L201" s="127">
        <v>185</v>
      </c>
      <c r="M201" s="98" t="s">
        <v>742</v>
      </c>
      <c r="N201" s="2"/>
    </row>
    <row r="202" spans="1:14" ht="14.4">
      <c r="A202" s="42">
        <v>45707</v>
      </c>
      <c r="B202" s="123" t="s">
        <v>933</v>
      </c>
      <c r="C202" s="124" t="s">
        <v>934</v>
      </c>
      <c r="D202" s="125" t="s">
        <v>453</v>
      </c>
      <c r="E202" s="126" t="s">
        <v>519</v>
      </c>
      <c r="F202" s="54" t="s">
        <v>252</v>
      </c>
      <c r="G202" s="54" t="s">
        <v>23</v>
      </c>
      <c r="H202" s="124" t="s">
        <v>919</v>
      </c>
      <c r="I202" s="124"/>
      <c r="J202" s="37"/>
      <c r="K202" s="37"/>
      <c r="L202" s="127">
        <v>80</v>
      </c>
      <c r="M202" s="98" t="s">
        <v>766</v>
      </c>
      <c r="N202" s="2"/>
    </row>
    <row r="203" spans="1:14" ht="14.4">
      <c r="A203" s="42">
        <v>45707</v>
      </c>
      <c r="B203" s="123" t="s">
        <v>935</v>
      </c>
      <c r="C203" s="124" t="s">
        <v>936</v>
      </c>
      <c r="D203" s="125" t="s">
        <v>446</v>
      </c>
      <c r="E203" s="126" t="s">
        <v>447</v>
      </c>
      <c r="F203" s="54" t="s">
        <v>22</v>
      </c>
      <c r="G203" s="54" t="s">
        <v>23</v>
      </c>
      <c r="H203" s="124" t="s">
        <v>937</v>
      </c>
      <c r="I203" s="124"/>
      <c r="J203" s="37">
        <v>124.5</v>
      </c>
      <c r="K203" s="37"/>
      <c r="L203" s="127">
        <v>249</v>
      </c>
      <c r="M203" s="98" t="s">
        <v>742</v>
      </c>
      <c r="N203" s="2"/>
    </row>
    <row r="204" spans="1:14" ht="14.4">
      <c r="A204" s="42">
        <v>45707</v>
      </c>
      <c r="B204" s="123" t="s">
        <v>938</v>
      </c>
      <c r="C204" s="124" t="s">
        <v>939</v>
      </c>
      <c r="D204" s="125" t="s">
        <v>498</v>
      </c>
      <c r="E204" s="126" t="s">
        <v>447</v>
      </c>
      <c r="F204" s="54" t="s">
        <v>253</v>
      </c>
      <c r="G204" s="54" t="s">
        <v>23</v>
      </c>
      <c r="H204" s="124" t="s">
        <v>849</v>
      </c>
      <c r="I204" s="124"/>
      <c r="J204" s="37">
        <v>149.5</v>
      </c>
      <c r="K204" s="37"/>
      <c r="L204" s="127">
        <f>J204*2</f>
        <v>299</v>
      </c>
      <c r="M204" s="98" t="s">
        <v>742</v>
      </c>
      <c r="N204" s="2"/>
    </row>
    <row r="205" spans="1:14" ht="14.4">
      <c r="A205" s="42">
        <v>45707</v>
      </c>
      <c r="B205" s="123" t="s">
        <v>940</v>
      </c>
      <c r="C205" s="124" t="s">
        <v>941</v>
      </c>
      <c r="D205" s="125" t="s">
        <v>498</v>
      </c>
      <c r="E205" s="126" t="s">
        <v>447</v>
      </c>
      <c r="F205" s="54" t="s">
        <v>253</v>
      </c>
      <c r="G205" s="54" t="s">
        <v>23</v>
      </c>
      <c r="H205" s="124" t="s">
        <v>942</v>
      </c>
      <c r="I205" s="124"/>
      <c r="J205" s="37">
        <v>115</v>
      </c>
      <c r="K205" s="37"/>
      <c r="L205" s="127">
        <v>225</v>
      </c>
      <c r="M205" s="98" t="s">
        <v>742</v>
      </c>
      <c r="N205" s="2"/>
    </row>
    <row r="206" spans="1:14" ht="14.4">
      <c r="A206" s="42">
        <v>45707</v>
      </c>
      <c r="B206" s="123" t="s">
        <v>943</v>
      </c>
      <c r="C206" s="124" t="s">
        <v>944</v>
      </c>
      <c r="D206" s="125" t="s">
        <v>522</v>
      </c>
      <c r="E206" s="126" t="s">
        <v>519</v>
      </c>
      <c r="F206" s="54" t="s">
        <v>252</v>
      </c>
      <c r="G206" s="54" t="s">
        <v>23</v>
      </c>
      <c r="H206" s="124" t="s">
        <v>847</v>
      </c>
      <c r="I206" s="124"/>
      <c r="J206" s="37">
        <v>75</v>
      </c>
      <c r="K206" s="37"/>
      <c r="L206" s="127">
        <v>150</v>
      </c>
      <c r="M206" s="98" t="s">
        <v>742</v>
      </c>
      <c r="N206" s="2"/>
    </row>
    <row r="207" spans="1:14" ht="14.4">
      <c r="A207" s="42">
        <v>45707</v>
      </c>
      <c r="B207" s="123" t="s">
        <v>645</v>
      </c>
      <c r="C207" s="124"/>
      <c r="D207" s="125" t="s">
        <v>478</v>
      </c>
      <c r="E207" s="126" t="s">
        <v>519</v>
      </c>
      <c r="F207" s="54"/>
      <c r="G207" s="54" t="s">
        <v>56</v>
      </c>
      <c r="H207" s="124" t="s">
        <v>945</v>
      </c>
      <c r="I207" s="124"/>
      <c r="J207" s="37">
        <v>100</v>
      </c>
      <c r="K207" s="37"/>
      <c r="L207" s="127">
        <v>199</v>
      </c>
      <c r="M207" s="98" t="s">
        <v>645</v>
      </c>
      <c r="N207" s="2"/>
    </row>
    <row r="208" spans="1:14" ht="14.4">
      <c r="A208" s="42">
        <v>45708</v>
      </c>
      <c r="B208" s="123" t="s">
        <v>946</v>
      </c>
      <c r="C208" s="78" t="s">
        <v>947</v>
      </c>
      <c r="D208" s="125" t="s">
        <v>453</v>
      </c>
      <c r="E208" s="126" t="s">
        <v>447</v>
      </c>
      <c r="F208" s="54" t="s">
        <v>252</v>
      </c>
      <c r="G208" s="54" t="s">
        <v>23</v>
      </c>
      <c r="H208" s="124" t="s">
        <v>948</v>
      </c>
      <c r="I208" s="124"/>
      <c r="J208" s="37">
        <v>1165</v>
      </c>
      <c r="K208" s="37"/>
      <c r="L208" s="127">
        <v>2265</v>
      </c>
      <c r="M208" s="98" t="s">
        <v>742</v>
      </c>
      <c r="N208" s="2"/>
    </row>
    <row r="209" spans="1:14" ht="14.4">
      <c r="A209" s="42">
        <v>45708</v>
      </c>
      <c r="B209" s="123" t="s">
        <v>949</v>
      </c>
      <c r="C209" s="78" t="s">
        <v>950</v>
      </c>
      <c r="D209" s="125" t="s">
        <v>502</v>
      </c>
      <c r="E209" s="126" t="s">
        <v>519</v>
      </c>
      <c r="F209" s="54" t="s">
        <v>252</v>
      </c>
      <c r="G209" s="54" t="s">
        <v>23</v>
      </c>
      <c r="H209" s="124" t="s">
        <v>722</v>
      </c>
      <c r="I209" s="124"/>
      <c r="J209" s="37">
        <v>50</v>
      </c>
      <c r="K209" s="37"/>
      <c r="L209" s="127">
        <v>50</v>
      </c>
      <c r="M209" s="98" t="s">
        <v>742</v>
      </c>
      <c r="N209" s="2"/>
    </row>
    <row r="210" spans="1:14" ht="14.4">
      <c r="A210" s="42">
        <v>45708</v>
      </c>
      <c r="B210" s="123" t="s">
        <v>951</v>
      </c>
      <c r="C210" s="124" t="s">
        <v>952</v>
      </c>
      <c r="D210" s="125" t="s">
        <v>498</v>
      </c>
      <c r="E210" s="126" t="s">
        <v>519</v>
      </c>
      <c r="F210" s="54" t="s">
        <v>253</v>
      </c>
      <c r="G210" s="54" t="s">
        <v>23</v>
      </c>
      <c r="H210" s="124" t="s">
        <v>569</v>
      </c>
      <c r="I210" s="124"/>
      <c r="J210" s="37">
        <v>180</v>
      </c>
      <c r="K210" s="37"/>
      <c r="L210" s="127">
        <v>355</v>
      </c>
      <c r="M210" s="98" t="s">
        <v>742</v>
      </c>
      <c r="N210" s="2"/>
    </row>
    <row r="211" spans="1:14" ht="14.4">
      <c r="A211" s="42">
        <v>45708</v>
      </c>
      <c r="B211" s="138" t="s">
        <v>953</v>
      </c>
      <c r="C211" s="139" t="s">
        <v>954</v>
      </c>
      <c r="D211" s="125" t="s">
        <v>498</v>
      </c>
      <c r="E211" s="126" t="s">
        <v>519</v>
      </c>
      <c r="F211" s="54" t="s">
        <v>253</v>
      </c>
      <c r="G211" s="54" t="s">
        <v>23</v>
      </c>
      <c r="H211" s="124" t="s">
        <v>569</v>
      </c>
      <c r="I211" s="124"/>
      <c r="J211" s="37">
        <v>105</v>
      </c>
      <c r="K211" s="37"/>
      <c r="L211" s="127">
        <v>185</v>
      </c>
      <c r="M211" s="98" t="s">
        <v>742</v>
      </c>
      <c r="N211" s="2"/>
    </row>
    <row r="212" spans="1:14" ht="14.4">
      <c r="A212" s="42">
        <v>45708</v>
      </c>
      <c r="B212" s="123" t="s">
        <v>955</v>
      </c>
      <c r="C212" s="124" t="s">
        <v>956</v>
      </c>
      <c r="D212" s="125" t="s">
        <v>453</v>
      </c>
      <c r="E212" s="126" t="s">
        <v>447</v>
      </c>
      <c r="F212" s="54" t="s">
        <v>252</v>
      </c>
      <c r="G212" s="54" t="s">
        <v>23</v>
      </c>
      <c r="H212" s="124" t="s">
        <v>957</v>
      </c>
      <c r="I212" s="124"/>
      <c r="J212" s="37">
        <v>450</v>
      </c>
      <c r="K212" s="37"/>
      <c r="L212" s="127">
        <v>945</v>
      </c>
      <c r="M212" s="64" t="s">
        <v>840</v>
      </c>
      <c r="N212" s="2"/>
    </row>
    <row r="213" spans="1:14" ht="14.4">
      <c r="A213" s="42">
        <v>45708</v>
      </c>
      <c r="B213" s="123" t="s">
        <v>958</v>
      </c>
      <c r="C213" s="124" t="s">
        <v>959</v>
      </c>
      <c r="D213" s="125" t="s">
        <v>498</v>
      </c>
      <c r="E213" s="126" t="s">
        <v>519</v>
      </c>
      <c r="F213" s="54" t="s">
        <v>252</v>
      </c>
      <c r="G213" s="54" t="s">
        <v>23</v>
      </c>
      <c r="H213" s="124" t="s">
        <v>960</v>
      </c>
      <c r="I213" s="124"/>
      <c r="J213" s="37">
        <v>415</v>
      </c>
      <c r="K213" s="37"/>
      <c r="L213" s="127">
        <v>415</v>
      </c>
      <c r="M213" s="64" t="s">
        <v>840</v>
      </c>
      <c r="N213" s="2"/>
    </row>
    <row r="214" spans="1:14" ht="14.4">
      <c r="A214" s="42">
        <v>45708</v>
      </c>
      <c r="B214" s="123" t="s">
        <v>961</v>
      </c>
      <c r="C214" s="124" t="s">
        <v>962</v>
      </c>
      <c r="D214" s="125" t="s">
        <v>502</v>
      </c>
      <c r="E214" s="126" t="s">
        <v>519</v>
      </c>
      <c r="F214" s="54"/>
      <c r="G214" s="54" t="s">
        <v>23</v>
      </c>
      <c r="H214" s="124" t="s">
        <v>12</v>
      </c>
      <c r="I214" s="124"/>
      <c r="J214" s="37"/>
      <c r="K214" s="37"/>
      <c r="L214" s="127">
        <v>109</v>
      </c>
      <c r="M214" s="98" t="s">
        <v>645</v>
      </c>
      <c r="N214" s="2"/>
    </row>
    <row r="215" spans="1:14" ht="14.4">
      <c r="A215" s="42">
        <v>45708</v>
      </c>
      <c r="B215" s="123" t="s">
        <v>963</v>
      </c>
      <c r="C215" s="124"/>
      <c r="D215" s="125" t="s">
        <v>588</v>
      </c>
      <c r="E215" s="126"/>
      <c r="F215" s="54"/>
      <c r="G215" s="54"/>
      <c r="H215" s="124"/>
      <c r="I215" s="124"/>
      <c r="J215" s="37"/>
      <c r="K215" s="37"/>
      <c r="L215" s="127">
        <v>95</v>
      </c>
      <c r="M215" s="98" t="s">
        <v>645</v>
      </c>
      <c r="N215" s="2"/>
    </row>
    <row r="216" spans="1:14" ht="14.4">
      <c r="A216" s="42">
        <v>45709</v>
      </c>
      <c r="B216" s="123" t="s">
        <v>961</v>
      </c>
      <c r="C216" s="124" t="s">
        <v>962</v>
      </c>
      <c r="D216" s="125" t="s">
        <v>502</v>
      </c>
      <c r="E216" s="126" t="s">
        <v>519</v>
      </c>
      <c r="F216" s="54"/>
      <c r="G216" s="54" t="s">
        <v>23</v>
      </c>
      <c r="H216" s="124" t="s">
        <v>964</v>
      </c>
      <c r="I216" s="124"/>
      <c r="J216" s="37"/>
      <c r="K216" s="37"/>
      <c r="L216" s="127">
        <v>120</v>
      </c>
      <c r="M216" s="98" t="s">
        <v>645</v>
      </c>
      <c r="N216" s="2"/>
    </row>
    <row r="217" spans="1:14" ht="14.4">
      <c r="A217" s="42">
        <v>45709</v>
      </c>
      <c r="B217" s="123" t="s">
        <v>755</v>
      </c>
      <c r="C217" s="124"/>
      <c r="D217" s="125" t="s">
        <v>588</v>
      </c>
      <c r="E217" s="126"/>
      <c r="F217" s="54"/>
      <c r="G217" s="54"/>
      <c r="H217" s="124"/>
      <c r="I217" s="124"/>
      <c r="J217" s="37"/>
      <c r="K217" s="37"/>
      <c r="L217" s="127">
        <v>567.98</v>
      </c>
      <c r="M217" s="98" t="s">
        <v>645</v>
      </c>
      <c r="N217" s="2"/>
    </row>
    <row r="218" spans="1:14" ht="14.4">
      <c r="A218" s="42">
        <v>45709</v>
      </c>
      <c r="B218" s="123" t="s">
        <v>965</v>
      </c>
      <c r="C218" s="124"/>
      <c r="D218" s="125" t="s">
        <v>588</v>
      </c>
      <c r="E218" s="126"/>
      <c r="F218" s="54"/>
      <c r="G218" s="54"/>
      <c r="H218" s="124"/>
      <c r="I218" s="124"/>
      <c r="J218" s="37"/>
      <c r="K218" s="37"/>
      <c r="L218" s="127">
        <v>120</v>
      </c>
      <c r="M218" s="98" t="s">
        <v>645</v>
      </c>
      <c r="N218" s="2"/>
    </row>
    <row r="219" spans="1:14" ht="14.4">
      <c r="A219" s="42">
        <v>45710</v>
      </c>
      <c r="B219" s="123" t="s">
        <v>966</v>
      </c>
      <c r="C219" s="124" t="s">
        <v>967</v>
      </c>
      <c r="D219" s="125" t="s">
        <v>446</v>
      </c>
      <c r="E219" s="126" t="s">
        <v>519</v>
      </c>
      <c r="F219" s="54" t="s">
        <v>252</v>
      </c>
      <c r="G219" s="54" t="s">
        <v>23</v>
      </c>
      <c r="H219" s="124" t="s">
        <v>876</v>
      </c>
      <c r="I219" s="124"/>
      <c r="J219" s="37"/>
      <c r="K219" s="37"/>
      <c r="L219" s="127">
        <v>45</v>
      </c>
      <c r="M219" s="98" t="s">
        <v>766</v>
      </c>
      <c r="N219" s="2"/>
    </row>
    <row r="220" spans="1:14" ht="14.4">
      <c r="A220" s="42">
        <v>45710</v>
      </c>
      <c r="B220" s="123" t="s">
        <v>968</v>
      </c>
      <c r="C220" s="78" t="s">
        <v>969</v>
      </c>
      <c r="D220" s="125" t="s">
        <v>280</v>
      </c>
      <c r="E220" s="126" t="s">
        <v>519</v>
      </c>
      <c r="F220" s="54" t="s">
        <v>252</v>
      </c>
      <c r="G220" s="54" t="s">
        <v>23</v>
      </c>
      <c r="H220" s="124" t="s">
        <v>889</v>
      </c>
      <c r="I220" s="124"/>
      <c r="J220" s="37"/>
      <c r="K220" s="37"/>
      <c r="L220" s="127">
        <v>45</v>
      </c>
      <c r="M220" s="98" t="s">
        <v>766</v>
      </c>
      <c r="N220" s="2"/>
    </row>
    <row r="221" spans="1:14" ht="14.4">
      <c r="A221" s="42">
        <v>45710</v>
      </c>
      <c r="B221" s="123" t="s">
        <v>970</v>
      </c>
      <c r="C221" s="124" t="s">
        <v>971</v>
      </c>
      <c r="D221" s="125" t="s">
        <v>280</v>
      </c>
      <c r="E221" s="126" t="s">
        <v>447</v>
      </c>
      <c r="F221" s="54" t="s">
        <v>252</v>
      </c>
      <c r="G221" s="54" t="s">
        <v>23</v>
      </c>
      <c r="H221" s="124" t="s">
        <v>847</v>
      </c>
      <c r="I221" s="124"/>
      <c r="J221" s="37">
        <v>160</v>
      </c>
      <c r="K221" s="37"/>
      <c r="L221" s="127">
        <v>315</v>
      </c>
      <c r="M221" s="98" t="s">
        <v>742</v>
      </c>
      <c r="N221" s="2"/>
    </row>
    <row r="222" spans="1:14" ht="14.4">
      <c r="A222" s="42">
        <v>45710</v>
      </c>
      <c r="B222" s="123" t="s">
        <v>972</v>
      </c>
      <c r="C222" s="124" t="s">
        <v>973</v>
      </c>
      <c r="D222" s="125" t="s">
        <v>974</v>
      </c>
      <c r="E222" s="126" t="s">
        <v>519</v>
      </c>
      <c r="F222" s="54" t="s">
        <v>463</v>
      </c>
      <c r="G222" s="54" t="s">
        <v>40</v>
      </c>
      <c r="H222" s="124" t="s">
        <v>975</v>
      </c>
      <c r="I222" s="124"/>
      <c r="J222" s="37"/>
      <c r="K222" s="37"/>
      <c r="L222" s="127">
        <v>160</v>
      </c>
      <c r="M222" s="98" t="s">
        <v>766</v>
      </c>
      <c r="N222" s="2"/>
    </row>
    <row r="223" spans="1:14" ht="14.4">
      <c r="A223" s="42">
        <v>45711</v>
      </c>
      <c r="B223" s="123" t="s">
        <v>972</v>
      </c>
      <c r="C223" s="124" t="s">
        <v>973</v>
      </c>
      <c r="D223" s="125" t="s">
        <v>974</v>
      </c>
      <c r="E223" s="126" t="s">
        <v>519</v>
      </c>
      <c r="F223" s="54" t="s">
        <v>463</v>
      </c>
      <c r="G223" s="54" t="s">
        <v>40</v>
      </c>
      <c r="H223" s="124" t="s">
        <v>976</v>
      </c>
      <c r="I223" s="124"/>
      <c r="J223" s="37"/>
      <c r="K223" s="37"/>
      <c r="L223" s="127">
        <v>320</v>
      </c>
      <c r="M223" s="98" t="s">
        <v>645</v>
      </c>
      <c r="N223" s="2"/>
    </row>
    <row r="224" spans="1:14" ht="14.4">
      <c r="A224" s="42">
        <v>45711</v>
      </c>
      <c r="B224" s="123" t="s">
        <v>902</v>
      </c>
      <c r="C224" s="124"/>
      <c r="D224" s="125"/>
      <c r="E224" s="126"/>
      <c r="F224" s="54"/>
      <c r="G224" s="54"/>
      <c r="H224" s="124"/>
      <c r="I224" s="124"/>
      <c r="J224" s="37"/>
      <c r="K224" s="37"/>
      <c r="L224" s="127">
        <v>220</v>
      </c>
      <c r="M224" s="98" t="s">
        <v>645</v>
      </c>
      <c r="N224" s="2"/>
    </row>
    <row r="225" spans="1:14" ht="14.4">
      <c r="A225" s="42">
        <v>45712</v>
      </c>
      <c r="B225" s="123" t="s">
        <v>977</v>
      </c>
      <c r="C225" s="124" t="s">
        <v>978</v>
      </c>
      <c r="D225" s="125" t="s">
        <v>280</v>
      </c>
      <c r="E225" s="126" t="s">
        <v>519</v>
      </c>
      <c r="F225" s="54" t="s">
        <v>22</v>
      </c>
      <c r="G225" s="54" t="s">
        <v>23</v>
      </c>
      <c r="H225" s="124" t="s">
        <v>979</v>
      </c>
      <c r="I225" s="124"/>
      <c r="J225" s="37">
        <v>104.5</v>
      </c>
      <c r="K225" s="37"/>
      <c r="L225" s="127">
        <v>209</v>
      </c>
      <c r="M225" s="98" t="s">
        <v>766</v>
      </c>
      <c r="N225" s="2"/>
    </row>
    <row r="226" spans="1:14" ht="14.4">
      <c r="A226" s="42">
        <v>45712</v>
      </c>
      <c r="B226" s="123" t="s">
        <v>965</v>
      </c>
      <c r="C226" s="124"/>
      <c r="D226" s="125"/>
      <c r="E226" s="126"/>
      <c r="F226" s="54"/>
      <c r="G226" s="54"/>
      <c r="H226" s="124"/>
      <c r="I226" s="124"/>
      <c r="J226" s="37"/>
      <c r="K226" s="37"/>
      <c r="L226" s="127">
        <v>120</v>
      </c>
      <c r="M226" s="98" t="s">
        <v>645</v>
      </c>
      <c r="N226" s="2"/>
    </row>
    <row r="227" spans="1:14" ht="14.4">
      <c r="A227" s="42">
        <v>45712</v>
      </c>
      <c r="B227" s="123" t="s">
        <v>980</v>
      </c>
      <c r="C227" s="124" t="s">
        <v>981</v>
      </c>
      <c r="D227" s="125" t="s">
        <v>446</v>
      </c>
      <c r="E227" s="126" t="s">
        <v>447</v>
      </c>
      <c r="F227" s="54" t="s">
        <v>253</v>
      </c>
      <c r="G227" s="54" t="s">
        <v>23</v>
      </c>
      <c r="H227" s="124" t="s">
        <v>982</v>
      </c>
      <c r="I227" s="124"/>
      <c r="J227" s="37">
        <v>90</v>
      </c>
      <c r="K227" s="37"/>
      <c r="L227" s="127">
        <v>180</v>
      </c>
      <c r="M227" s="98" t="s">
        <v>766</v>
      </c>
      <c r="N227" s="2"/>
    </row>
    <row r="228" spans="1:14" ht="14.4">
      <c r="A228" s="42">
        <v>45712</v>
      </c>
      <c r="B228" s="123" t="s">
        <v>983</v>
      </c>
      <c r="C228" s="124" t="s">
        <v>984</v>
      </c>
      <c r="D228" s="125" t="s">
        <v>985</v>
      </c>
      <c r="E228" s="126" t="s">
        <v>447</v>
      </c>
      <c r="F228" s="54" t="s">
        <v>253</v>
      </c>
      <c r="G228" s="54" t="s">
        <v>23</v>
      </c>
      <c r="H228" s="124" t="s">
        <v>615</v>
      </c>
      <c r="I228" s="124"/>
      <c r="J228" s="37">
        <v>99.5</v>
      </c>
      <c r="K228" s="37"/>
      <c r="L228" s="127">
        <v>199</v>
      </c>
      <c r="M228" s="98" t="s">
        <v>766</v>
      </c>
      <c r="N228" s="2"/>
    </row>
    <row r="229" spans="1:14" ht="14.4">
      <c r="A229" s="42">
        <v>45712</v>
      </c>
      <c r="B229" s="123" t="s">
        <v>986</v>
      </c>
      <c r="C229" s="124" t="s">
        <v>987</v>
      </c>
      <c r="D229" s="125" t="s">
        <v>446</v>
      </c>
      <c r="E229" s="126" t="s">
        <v>519</v>
      </c>
      <c r="F229" s="54" t="s">
        <v>253</v>
      </c>
      <c r="G229" s="54" t="s">
        <v>23</v>
      </c>
      <c r="H229" s="124" t="s">
        <v>988</v>
      </c>
      <c r="I229" s="124"/>
      <c r="J229" s="37">
        <v>500</v>
      </c>
      <c r="K229" s="37"/>
      <c r="L229" s="127">
        <v>1000</v>
      </c>
      <c r="M229" s="98" t="s">
        <v>742</v>
      </c>
      <c r="N229" s="2"/>
    </row>
    <row r="230" spans="1:14" ht="14.4">
      <c r="A230" s="42">
        <v>45712</v>
      </c>
      <c r="B230" s="123" t="s">
        <v>989</v>
      </c>
      <c r="C230" s="124" t="s">
        <v>990</v>
      </c>
      <c r="D230" s="125" t="s">
        <v>502</v>
      </c>
      <c r="E230" s="126" t="s">
        <v>519</v>
      </c>
      <c r="F230" s="54" t="s">
        <v>252</v>
      </c>
      <c r="G230" s="54" t="s">
        <v>23</v>
      </c>
      <c r="H230" s="124" t="s">
        <v>869</v>
      </c>
      <c r="I230" s="124"/>
      <c r="J230" s="37"/>
      <c r="K230" s="37"/>
      <c r="L230" s="127">
        <v>70</v>
      </c>
      <c r="M230" s="64" t="s">
        <v>840</v>
      </c>
      <c r="N230" s="2"/>
    </row>
    <row r="231" spans="1:14" ht="14.4">
      <c r="A231" s="42">
        <v>45712</v>
      </c>
      <c r="B231" s="123" t="s">
        <v>991</v>
      </c>
      <c r="C231" s="124"/>
      <c r="D231" s="125" t="s">
        <v>992</v>
      </c>
      <c r="E231" s="126" t="s">
        <v>519</v>
      </c>
      <c r="F231" s="54"/>
      <c r="G231" s="54"/>
      <c r="H231" s="124" t="s">
        <v>993</v>
      </c>
      <c r="I231" s="124"/>
      <c r="J231" s="37">
        <f>135</f>
        <v>135</v>
      </c>
      <c r="K231" s="37"/>
      <c r="L231" s="127">
        <f>J231+K231</f>
        <v>135</v>
      </c>
      <c r="M231" s="98" t="s">
        <v>645</v>
      </c>
      <c r="N231" s="2"/>
    </row>
    <row r="232" spans="1:14" ht="14.4">
      <c r="A232" s="42">
        <v>45712</v>
      </c>
      <c r="B232" s="123" t="s">
        <v>994</v>
      </c>
      <c r="C232" s="124"/>
      <c r="D232" s="125"/>
      <c r="E232" s="126"/>
      <c r="F232" s="54" t="s">
        <v>463</v>
      </c>
      <c r="G232" s="54" t="s">
        <v>40</v>
      </c>
      <c r="H232" s="124" t="s">
        <v>995</v>
      </c>
      <c r="I232" s="124"/>
      <c r="J232" s="37"/>
      <c r="K232" s="37"/>
      <c r="L232" s="127">
        <v>232.7</v>
      </c>
      <c r="M232" s="98" t="s">
        <v>645</v>
      </c>
      <c r="N232" s="2"/>
    </row>
    <row r="233" spans="1:14" ht="14.4">
      <c r="A233" s="42">
        <v>45712</v>
      </c>
      <c r="B233" s="123" t="s">
        <v>996</v>
      </c>
      <c r="C233" s="124" t="s">
        <v>997</v>
      </c>
      <c r="D233" s="125" t="s">
        <v>280</v>
      </c>
      <c r="E233" s="126" t="s">
        <v>519</v>
      </c>
      <c r="F233" s="54" t="s">
        <v>22</v>
      </c>
      <c r="G233" s="54" t="s">
        <v>23</v>
      </c>
      <c r="H233" s="124" t="s">
        <v>979</v>
      </c>
      <c r="I233" s="124"/>
      <c r="J233" s="37">
        <v>145</v>
      </c>
      <c r="K233" s="37"/>
      <c r="L233" s="127">
        <v>270</v>
      </c>
      <c r="M233" s="98" t="s">
        <v>766</v>
      </c>
      <c r="N233" s="2"/>
    </row>
    <row r="234" spans="1:14" ht="14.4">
      <c r="A234" s="42">
        <v>45713</v>
      </c>
      <c r="B234" s="123" t="s">
        <v>998</v>
      </c>
      <c r="C234" s="124" t="s">
        <v>875</v>
      </c>
      <c r="D234" s="125" t="s">
        <v>502</v>
      </c>
      <c r="E234" s="126" t="s">
        <v>519</v>
      </c>
      <c r="F234" s="54" t="s">
        <v>33</v>
      </c>
      <c r="G234" s="54" t="s">
        <v>23</v>
      </c>
      <c r="H234" s="124" t="s">
        <v>999</v>
      </c>
      <c r="I234" s="124"/>
      <c r="J234" s="37">
        <v>285</v>
      </c>
      <c r="K234" s="37"/>
      <c r="L234" s="127">
        <f>J234+K234</f>
        <v>285</v>
      </c>
      <c r="M234" s="98" t="s">
        <v>766</v>
      </c>
      <c r="N234" s="2"/>
    </row>
    <row r="235" spans="1:14" ht="14.4">
      <c r="A235" s="42">
        <v>45713</v>
      </c>
      <c r="B235" s="123" t="s">
        <v>1000</v>
      </c>
      <c r="C235" s="124"/>
      <c r="D235" s="125"/>
      <c r="E235" s="126"/>
      <c r="F235" s="54" t="s">
        <v>463</v>
      </c>
      <c r="G235" s="54" t="s">
        <v>40</v>
      </c>
      <c r="H235" s="124" t="s">
        <v>531</v>
      </c>
      <c r="I235" s="124"/>
      <c r="J235" s="37"/>
      <c r="K235" s="37"/>
      <c r="L235" s="127">
        <v>369</v>
      </c>
      <c r="M235" s="98" t="s">
        <v>645</v>
      </c>
      <c r="N235" s="2"/>
    </row>
    <row r="236" spans="1:14" ht="14.4">
      <c r="A236" s="42">
        <v>45713</v>
      </c>
      <c r="B236" s="123" t="s">
        <v>1001</v>
      </c>
      <c r="C236" s="124" t="s">
        <v>1002</v>
      </c>
      <c r="D236" s="125" t="s">
        <v>280</v>
      </c>
      <c r="E236" s="126" t="s">
        <v>519</v>
      </c>
      <c r="F236" s="54" t="s">
        <v>253</v>
      </c>
      <c r="G236" s="54" t="s">
        <v>23</v>
      </c>
      <c r="H236" s="124" t="s">
        <v>942</v>
      </c>
      <c r="I236" s="124"/>
      <c r="J236" s="37">
        <v>85</v>
      </c>
      <c r="K236" s="37"/>
      <c r="L236" s="127">
        <v>230</v>
      </c>
      <c r="M236" s="98" t="s">
        <v>742</v>
      </c>
      <c r="N236" s="2"/>
    </row>
    <row r="237" spans="1:14" ht="14.4">
      <c r="A237" s="42">
        <v>45713</v>
      </c>
      <c r="B237" s="123" t="s">
        <v>854</v>
      </c>
      <c r="C237" s="124"/>
      <c r="D237" s="125"/>
      <c r="E237" s="126"/>
      <c r="F237" s="54" t="s">
        <v>463</v>
      </c>
      <c r="G237" s="54" t="s">
        <v>40</v>
      </c>
      <c r="H237" s="124" t="s">
        <v>1003</v>
      </c>
      <c r="I237" s="124"/>
      <c r="J237" s="37"/>
      <c r="K237" s="37"/>
      <c r="L237" s="127">
        <v>60</v>
      </c>
      <c r="M237" s="98" t="s">
        <v>645</v>
      </c>
      <c r="N237" s="2"/>
    </row>
    <row r="238" spans="1:14" ht="14.4">
      <c r="A238" s="42">
        <v>45713</v>
      </c>
      <c r="B238" s="123" t="s">
        <v>972</v>
      </c>
      <c r="C238" s="124"/>
      <c r="D238" s="125"/>
      <c r="E238" s="126"/>
      <c r="F238" s="54" t="s">
        <v>463</v>
      </c>
      <c r="G238" s="54" t="s">
        <v>40</v>
      </c>
      <c r="H238" s="124" t="s">
        <v>531</v>
      </c>
      <c r="I238" s="124"/>
      <c r="J238" s="37"/>
      <c r="K238" s="37"/>
      <c r="L238" s="127">
        <v>240</v>
      </c>
      <c r="M238" s="98" t="s">
        <v>645</v>
      </c>
      <c r="N238" s="2"/>
    </row>
    <row r="239" spans="1:14" ht="14.4">
      <c r="A239" s="42">
        <v>45713</v>
      </c>
      <c r="B239" s="123" t="s">
        <v>1004</v>
      </c>
      <c r="C239" s="124" t="s">
        <v>1005</v>
      </c>
      <c r="D239" s="125" t="s">
        <v>864</v>
      </c>
      <c r="E239" s="126" t="s">
        <v>519</v>
      </c>
      <c r="F239" s="54"/>
      <c r="G239" s="54"/>
      <c r="H239" s="124" t="s">
        <v>1006</v>
      </c>
      <c r="I239" s="124"/>
      <c r="J239" s="37"/>
      <c r="K239" s="37"/>
      <c r="L239" s="127">
        <v>2360</v>
      </c>
      <c r="M239" s="98" t="s">
        <v>645</v>
      </c>
      <c r="N239" s="2"/>
    </row>
    <row r="240" spans="1:14" ht="14.4">
      <c r="A240" s="65">
        <v>45714</v>
      </c>
      <c r="B240" s="61" t="s">
        <v>1007</v>
      </c>
      <c r="C240" s="39" t="s">
        <v>1008</v>
      </c>
      <c r="D240" s="20" t="s">
        <v>502</v>
      </c>
      <c r="E240" s="54" t="s">
        <v>519</v>
      </c>
      <c r="F240" s="54" t="s">
        <v>252</v>
      </c>
      <c r="G240" s="54" t="s">
        <v>23</v>
      </c>
      <c r="H240" s="39" t="s">
        <v>930</v>
      </c>
      <c r="I240" s="39"/>
      <c r="J240" s="44"/>
      <c r="K240" s="44"/>
      <c r="L240" s="63">
        <v>45</v>
      </c>
      <c r="M240" s="98" t="s">
        <v>766</v>
      </c>
      <c r="N240" s="2"/>
    </row>
    <row r="241" spans="1:14" ht="14.4">
      <c r="A241" s="65">
        <v>45714</v>
      </c>
      <c r="B241" s="61" t="s">
        <v>1009</v>
      </c>
      <c r="C241" s="39" t="s">
        <v>1010</v>
      </c>
      <c r="D241" s="20" t="s">
        <v>502</v>
      </c>
      <c r="E241" s="54" t="s">
        <v>447</v>
      </c>
      <c r="F241" s="54" t="s">
        <v>252</v>
      </c>
      <c r="G241" s="54" t="s">
        <v>23</v>
      </c>
      <c r="H241" s="39" t="s">
        <v>886</v>
      </c>
      <c r="I241" s="39"/>
      <c r="J241" s="44">
        <v>80</v>
      </c>
      <c r="K241" s="44"/>
      <c r="L241" s="63">
        <v>80</v>
      </c>
      <c r="M241" s="98" t="s">
        <v>766</v>
      </c>
      <c r="N241" s="2"/>
    </row>
    <row r="242" spans="1:14" ht="14.4">
      <c r="A242" s="65">
        <v>45714</v>
      </c>
      <c r="B242" s="61" t="s">
        <v>1011</v>
      </c>
      <c r="C242" s="39" t="s">
        <v>1012</v>
      </c>
      <c r="D242" s="20" t="s">
        <v>502</v>
      </c>
      <c r="E242" s="54" t="s">
        <v>519</v>
      </c>
      <c r="F242" s="54" t="s">
        <v>33</v>
      </c>
      <c r="G242" s="54" t="s">
        <v>23</v>
      </c>
      <c r="H242" s="39" t="s">
        <v>1013</v>
      </c>
      <c r="I242" s="39"/>
      <c r="J242" s="44">
        <f>80+563</f>
        <v>643</v>
      </c>
      <c r="K242" s="44"/>
      <c r="L242" s="63">
        <f>1125+80</f>
        <v>1205</v>
      </c>
      <c r="M242" s="98" t="s">
        <v>742</v>
      </c>
      <c r="N242" s="2"/>
    </row>
    <row r="243" spans="1:14" ht="14.4">
      <c r="A243" s="65">
        <v>45714</v>
      </c>
      <c r="B243" s="61" t="s">
        <v>1014</v>
      </c>
      <c r="C243" s="39" t="s">
        <v>1015</v>
      </c>
      <c r="D243" s="20" t="s">
        <v>446</v>
      </c>
      <c r="E243" s="54" t="s">
        <v>447</v>
      </c>
      <c r="F243" s="54" t="s">
        <v>252</v>
      </c>
      <c r="G243" s="54" t="s">
        <v>23</v>
      </c>
      <c r="H243" s="39" t="s">
        <v>1016</v>
      </c>
      <c r="I243" s="39"/>
      <c r="J243" s="44"/>
      <c r="K243" s="44"/>
      <c r="L243" s="63">
        <v>50</v>
      </c>
      <c r="M243" s="64" t="s">
        <v>840</v>
      </c>
      <c r="N243" s="2"/>
    </row>
    <row r="244" spans="1:14" ht="14.4">
      <c r="A244" s="65">
        <v>45714</v>
      </c>
      <c r="B244" s="61" t="s">
        <v>1017</v>
      </c>
      <c r="C244" s="39" t="s">
        <v>1018</v>
      </c>
      <c r="D244" s="20" t="s">
        <v>985</v>
      </c>
      <c r="E244" s="54" t="s">
        <v>447</v>
      </c>
      <c r="F244" s="54" t="s">
        <v>252</v>
      </c>
      <c r="G244" s="54" t="s">
        <v>23</v>
      </c>
      <c r="H244" s="39" t="s">
        <v>1019</v>
      </c>
      <c r="I244" s="39"/>
      <c r="J244" s="44">
        <v>125</v>
      </c>
      <c r="K244" s="44"/>
      <c r="L244" s="63">
        <v>250</v>
      </c>
      <c r="M244" s="98" t="s">
        <v>742</v>
      </c>
      <c r="N244" s="2"/>
    </row>
    <row r="245" spans="1:14" ht="14.4">
      <c r="A245" s="65">
        <v>45714</v>
      </c>
      <c r="B245" s="61" t="s">
        <v>1020</v>
      </c>
      <c r="C245" s="39" t="s">
        <v>1021</v>
      </c>
      <c r="D245" s="20" t="s">
        <v>446</v>
      </c>
      <c r="E245" s="54" t="s">
        <v>519</v>
      </c>
      <c r="F245" s="54" t="s">
        <v>735</v>
      </c>
      <c r="G245" s="54" t="s">
        <v>23</v>
      </c>
      <c r="H245" s="39" t="s">
        <v>1022</v>
      </c>
      <c r="I245" s="39"/>
      <c r="J245" s="44">
        <v>200</v>
      </c>
      <c r="K245" s="44"/>
      <c r="L245" s="63">
        <v>400</v>
      </c>
      <c r="M245" s="98" t="s">
        <v>742</v>
      </c>
      <c r="N245" s="2"/>
    </row>
    <row r="246" spans="1:14" ht="14.4">
      <c r="A246" s="65">
        <v>45715</v>
      </c>
      <c r="B246" s="61" t="s">
        <v>1023</v>
      </c>
      <c r="C246" s="39" t="s">
        <v>1024</v>
      </c>
      <c r="D246" s="20" t="s">
        <v>985</v>
      </c>
      <c r="E246" s="54" t="s">
        <v>447</v>
      </c>
      <c r="F246" s="54" t="s">
        <v>22</v>
      </c>
      <c r="G246" s="54" t="s">
        <v>23</v>
      </c>
      <c r="H246" s="39" t="s">
        <v>572</v>
      </c>
      <c r="I246" s="39"/>
      <c r="J246" s="44">
        <v>297.5</v>
      </c>
      <c r="K246" s="44"/>
      <c r="L246" s="63">
        <f t="shared" ref="L246:L247" si="0">K246*2</f>
        <v>0</v>
      </c>
      <c r="M246" s="98" t="s">
        <v>742</v>
      </c>
      <c r="N246" s="2"/>
    </row>
    <row r="247" spans="1:14" ht="14.4">
      <c r="A247" s="65">
        <v>45715</v>
      </c>
      <c r="B247" s="61" t="s">
        <v>1025</v>
      </c>
      <c r="C247" s="39" t="s">
        <v>1026</v>
      </c>
      <c r="D247" s="20" t="s">
        <v>280</v>
      </c>
      <c r="E247" s="54" t="s">
        <v>519</v>
      </c>
      <c r="F247" s="54" t="s">
        <v>252</v>
      </c>
      <c r="G247" s="54" t="s">
        <v>23</v>
      </c>
      <c r="H247" s="39" t="s">
        <v>1027</v>
      </c>
      <c r="I247" s="39"/>
      <c r="J247" s="44">
        <v>729.5</v>
      </c>
      <c r="K247" s="44"/>
      <c r="L247" s="63">
        <f t="shared" si="0"/>
        <v>0</v>
      </c>
      <c r="M247" s="98" t="s">
        <v>742</v>
      </c>
      <c r="N247" s="2"/>
    </row>
    <row r="248" spans="1:14" ht="14.4">
      <c r="A248" s="65">
        <v>45715</v>
      </c>
      <c r="B248" s="61" t="s">
        <v>1028</v>
      </c>
      <c r="C248" s="39" t="s">
        <v>1029</v>
      </c>
      <c r="D248" s="20" t="s">
        <v>446</v>
      </c>
      <c r="E248" s="54" t="s">
        <v>447</v>
      </c>
      <c r="F248" s="54" t="s">
        <v>22</v>
      </c>
      <c r="G248" s="54" t="s">
        <v>23</v>
      </c>
      <c r="H248" s="39" t="s">
        <v>1030</v>
      </c>
      <c r="I248" s="39"/>
      <c r="J248" s="44">
        <v>200</v>
      </c>
      <c r="K248" s="44"/>
      <c r="L248" s="63">
        <v>336.3</v>
      </c>
      <c r="M248" s="98" t="s">
        <v>742</v>
      </c>
      <c r="N248" s="2"/>
    </row>
    <row r="249" spans="1:14" ht="14.4">
      <c r="A249" s="65">
        <v>45715</v>
      </c>
      <c r="B249" s="61" t="s">
        <v>1031</v>
      </c>
      <c r="C249" s="39" t="s">
        <v>1032</v>
      </c>
      <c r="D249" s="140" t="s">
        <v>1033</v>
      </c>
      <c r="E249" s="54" t="s">
        <v>519</v>
      </c>
      <c r="F249" s="54" t="s">
        <v>487</v>
      </c>
      <c r="G249" s="54" t="s">
        <v>40</v>
      </c>
      <c r="H249" s="39" t="s">
        <v>1034</v>
      </c>
      <c r="I249" s="39"/>
      <c r="J249" s="44">
        <v>520</v>
      </c>
      <c r="K249" s="44">
        <v>209</v>
      </c>
      <c r="L249" s="63">
        <f>SUM(J249:K249)</f>
        <v>729</v>
      </c>
      <c r="M249" s="64" t="s">
        <v>840</v>
      </c>
      <c r="N249" s="2"/>
    </row>
    <row r="250" spans="1:14" ht="14.4">
      <c r="A250" s="65">
        <v>45715</v>
      </c>
      <c r="B250" s="61" t="s">
        <v>965</v>
      </c>
      <c r="C250" s="39"/>
      <c r="D250" s="20" t="s">
        <v>1035</v>
      </c>
      <c r="E250" s="54"/>
      <c r="F250" s="54" t="s">
        <v>463</v>
      </c>
      <c r="G250" s="54" t="s">
        <v>40</v>
      </c>
      <c r="H250" s="39" t="s">
        <v>531</v>
      </c>
      <c r="I250" s="39"/>
      <c r="J250" s="44"/>
      <c r="K250" s="44"/>
      <c r="L250" s="63">
        <v>120</v>
      </c>
      <c r="M250" s="98" t="s">
        <v>645</v>
      </c>
      <c r="N250" s="2"/>
    </row>
    <row r="251" spans="1:14" ht="14.4">
      <c r="A251" s="65">
        <v>45716</v>
      </c>
      <c r="B251" s="61" t="s">
        <v>1036</v>
      </c>
      <c r="C251" s="39" t="s">
        <v>1037</v>
      </c>
      <c r="D251" s="20" t="s">
        <v>280</v>
      </c>
      <c r="E251" s="54" t="s">
        <v>447</v>
      </c>
      <c r="F251" s="54" t="s">
        <v>252</v>
      </c>
      <c r="G251" s="54" t="s">
        <v>23</v>
      </c>
      <c r="H251" s="39" t="s">
        <v>1038</v>
      </c>
      <c r="I251" s="39"/>
      <c r="J251" s="44">
        <v>200</v>
      </c>
      <c r="K251" s="44"/>
      <c r="L251" s="63">
        <v>435</v>
      </c>
      <c r="M251" s="98" t="s">
        <v>742</v>
      </c>
      <c r="N251" s="2"/>
    </row>
    <row r="252" spans="1:14" ht="14.4">
      <c r="A252" s="65">
        <v>45716</v>
      </c>
      <c r="B252" s="61" t="s">
        <v>1039</v>
      </c>
      <c r="C252" s="39" t="s">
        <v>1040</v>
      </c>
      <c r="D252" s="20" t="s">
        <v>985</v>
      </c>
      <c r="E252" s="54" t="s">
        <v>447</v>
      </c>
      <c r="F252" s="54" t="s">
        <v>252</v>
      </c>
      <c r="G252" s="54" t="s">
        <v>23</v>
      </c>
      <c r="H252" s="39" t="s">
        <v>1041</v>
      </c>
      <c r="I252" s="39"/>
      <c r="J252" s="44">
        <f>L252/2</f>
        <v>119.5</v>
      </c>
      <c r="K252" s="44"/>
      <c r="L252" s="63">
        <v>239</v>
      </c>
      <c r="M252" s="98" t="s">
        <v>742</v>
      </c>
      <c r="N252" s="2"/>
    </row>
    <row r="253" spans="1:14" ht="14.4">
      <c r="A253" s="65">
        <v>45716</v>
      </c>
      <c r="B253" s="61" t="s">
        <v>1042</v>
      </c>
      <c r="C253" s="39" t="s">
        <v>1043</v>
      </c>
      <c r="D253" s="20" t="s">
        <v>502</v>
      </c>
      <c r="E253" s="54" t="s">
        <v>447</v>
      </c>
      <c r="F253" s="54" t="s">
        <v>252</v>
      </c>
      <c r="G253" s="54" t="s">
        <v>23</v>
      </c>
      <c r="H253" s="39" t="s">
        <v>869</v>
      </c>
      <c r="I253" s="39"/>
      <c r="J253" s="44">
        <v>80</v>
      </c>
      <c r="K253" s="44"/>
      <c r="L253" s="63">
        <v>80</v>
      </c>
      <c r="M253" s="64" t="s">
        <v>840</v>
      </c>
      <c r="N253" s="2"/>
    </row>
    <row r="254" spans="1:14" ht="14.4">
      <c r="A254" s="65">
        <v>45716</v>
      </c>
      <c r="B254" s="61" t="s">
        <v>1044</v>
      </c>
      <c r="C254" s="39" t="s">
        <v>1045</v>
      </c>
      <c r="D254" s="140" t="s">
        <v>1033</v>
      </c>
      <c r="E254" s="54" t="s">
        <v>519</v>
      </c>
      <c r="F254" s="54"/>
      <c r="G254" s="54" t="s">
        <v>40</v>
      </c>
      <c r="H254" s="39" t="s">
        <v>924</v>
      </c>
      <c r="I254" s="39"/>
      <c r="J254" s="44">
        <v>190</v>
      </c>
      <c r="K254" s="44"/>
      <c r="L254" s="63">
        <v>190</v>
      </c>
      <c r="M254" s="64" t="s">
        <v>840</v>
      </c>
      <c r="N254" s="2"/>
    </row>
    <row r="255" spans="1:14" ht="14.4">
      <c r="A255" s="65">
        <v>45716</v>
      </c>
      <c r="B255" s="123" t="s">
        <v>842</v>
      </c>
      <c r="C255" s="124">
        <f>525548908584</f>
        <v>525548908584</v>
      </c>
      <c r="D255" s="125"/>
      <c r="E255" s="126"/>
      <c r="F255" s="54"/>
      <c r="G255" s="54"/>
      <c r="H255" s="124"/>
      <c r="I255" s="124"/>
      <c r="J255" s="37"/>
      <c r="K255" s="37"/>
      <c r="L255" s="127">
        <v>199.87</v>
      </c>
      <c r="M255" s="98" t="s">
        <v>645</v>
      </c>
      <c r="N255" s="2"/>
    </row>
    <row r="256" spans="1:14" ht="14.4">
      <c r="A256" s="42">
        <v>45716</v>
      </c>
      <c r="B256" s="123" t="s">
        <v>1046</v>
      </c>
      <c r="C256" s="124" t="s">
        <v>1047</v>
      </c>
      <c r="D256" s="125" t="s">
        <v>502</v>
      </c>
      <c r="E256" s="126" t="s">
        <v>447</v>
      </c>
      <c r="F256" s="54" t="s">
        <v>252</v>
      </c>
      <c r="G256" s="54" t="s">
        <v>23</v>
      </c>
      <c r="H256" s="124" t="s">
        <v>869</v>
      </c>
      <c r="I256" s="124"/>
      <c r="J256" s="37">
        <v>70</v>
      </c>
      <c r="K256" s="37"/>
      <c r="L256" s="127">
        <v>70</v>
      </c>
      <c r="M256" s="64" t="s">
        <v>840</v>
      </c>
      <c r="N256" s="2"/>
    </row>
    <row r="257" spans="1:14" ht="14.4">
      <c r="A257" s="42">
        <v>45716</v>
      </c>
      <c r="B257" s="123" t="s">
        <v>841</v>
      </c>
      <c r="C257" s="124"/>
      <c r="D257" s="125" t="s">
        <v>1035</v>
      </c>
      <c r="E257" s="126" t="s">
        <v>519</v>
      </c>
      <c r="F257" s="54"/>
      <c r="G257" s="54"/>
      <c r="H257" s="124" t="s">
        <v>531</v>
      </c>
      <c r="I257" s="124"/>
      <c r="J257" s="37"/>
      <c r="K257" s="37"/>
      <c r="L257" s="127">
        <v>130</v>
      </c>
      <c r="M257" s="98" t="s">
        <v>645</v>
      </c>
      <c r="N257" s="2"/>
    </row>
    <row r="258" spans="1:14" ht="14.4">
      <c r="A258" s="65">
        <v>45717</v>
      </c>
      <c r="B258" s="61" t="s">
        <v>1048</v>
      </c>
      <c r="C258" s="39" t="s">
        <v>1049</v>
      </c>
      <c r="D258" s="20" t="s">
        <v>1050</v>
      </c>
      <c r="E258" s="54" t="s">
        <v>519</v>
      </c>
      <c r="F258" s="54" t="s">
        <v>40</v>
      </c>
      <c r="G258" s="54" t="s">
        <v>40</v>
      </c>
      <c r="H258" s="39" t="s">
        <v>1051</v>
      </c>
      <c r="I258" s="39"/>
      <c r="J258" s="44">
        <v>30</v>
      </c>
      <c r="K258" s="44"/>
      <c r="L258" s="127">
        <v>30</v>
      </c>
      <c r="M258" s="141" t="s">
        <v>840</v>
      </c>
      <c r="N258" s="2"/>
    </row>
    <row r="259" spans="1:14" ht="14.4">
      <c r="A259" s="65">
        <v>45717</v>
      </c>
      <c r="B259" s="61" t="s">
        <v>1052</v>
      </c>
      <c r="C259" s="39" t="s">
        <v>1053</v>
      </c>
      <c r="D259" s="20" t="s">
        <v>446</v>
      </c>
      <c r="E259" s="54" t="s">
        <v>519</v>
      </c>
      <c r="F259" s="54" t="s">
        <v>22</v>
      </c>
      <c r="G259" s="54" t="s">
        <v>23</v>
      </c>
      <c r="H259" s="39" t="s">
        <v>1054</v>
      </c>
      <c r="I259" s="39" t="s">
        <v>1055</v>
      </c>
      <c r="J259" s="44">
        <v>189</v>
      </c>
      <c r="K259" s="44"/>
      <c r="L259" s="127">
        <v>189</v>
      </c>
      <c r="M259" s="141" t="s">
        <v>840</v>
      </c>
      <c r="N259" s="2"/>
    </row>
    <row r="260" spans="1:14" ht="14.4">
      <c r="A260" s="42">
        <v>45717</v>
      </c>
      <c r="B260" s="123" t="s">
        <v>1056</v>
      </c>
      <c r="C260" s="124" t="s">
        <v>1010</v>
      </c>
      <c r="D260" s="125" t="s">
        <v>502</v>
      </c>
      <c r="E260" s="126" t="s">
        <v>519</v>
      </c>
      <c r="F260" s="54" t="s">
        <v>33</v>
      </c>
      <c r="G260" s="54" t="s">
        <v>23</v>
      </c>
      <c r="H260" s="124" t="s">
        <v>1057</v>
      </c>
      <c r="I260" s="124"/>
      <c r="J260" s="37">
        <v>450</v>
      </c>
      <c r="K260" s="37"/>
      <c r="L260" s="127">
        <v>900</v>
      </c>
      <c r="M260" s="98" t="s">
        <v>766</v>
      </c>
      <c r="N260" s="2"/>
    </row>
    <row r="261" spans="1:14" ht="14.4">
      <c r="A261" s="42">
        <v>45719</v>
      </c>
      <c r="B261" s="123" t="s">
        <v>1058</v>
      </c>
      <c r="C261" s="124" t="s">
        <v>1059</v>
      </c>
      <c r="D261" s="125" t="s">
        <v>502</v>
      </c>
      <c r="E261" s="126" t="s">
        <v>447</v>
      </c>
      <c r="F261" s="54" t="s">
        <v>33</v>
      </c>
      <c r="G261" s="54" t="s">
        <v>23</v>
      </c>
      <c r="H261" s="124" t="s">
        <v>889</v>
      </c>
      <c r="I261" s="124" t="s">
        <v>1060</v>
      </c>
      <c r="J261" s="37">
        <v>80</v>
      </c>
      <c r="K261" s="37"/>
      <c r="L261" s="127">
        <v>80</v>
      </c>
      <c r="M261" s="98" t="s">
        <v>742</v>
      </c>
      <c r="N261" s="2"/>
    </row>
    <row r="262" spans="1:14" ht="14.4">
      <c r="A262" s="65">
        <v>45719</v>
      </c>
      <c r="B262" s="61" t="s">
        <v>1061</v>
      </c>
      <c r="C262" s="39" t="s">
        <v>1062</v>
      </c>
      <c r="D262" s="140" t="s">
        <v>1033</v>
      </c>
      <c r="E262" s="54" t="s">
        <v>519</v>
      </c>
      <c r="F262" s="54" t="s">
        <v>40</v>
      </c>
      <c r="G262" s="54" t="s">
        <v>40</v>
      </c>
      <c r="H262" s="39" t="s">
        <v>924</v>
      </c>
      <c r="I262" s="39"/>
      <c r="J262" s="44">
        <v>203.91</v>
      </c>
      <c r="K262" s="44"/>
      <c r="L262" s="63">
        <v>203.91</v>
      </c>
      <c r="M262" s="141" t="s">
        <v>840</v>
      </c>
      <c r="N262" s="2"/>
    </row>
    <row r="263" spans="1:14" ht="14.4">
      <c r="A263" s="142">
        <v>45719</v>
      </c>
      <c r="B263" s="143" t="s">
        <v>1063</v>
      </c>
      <c r="C263" s="144" t="s">
        <v>1064</v>
      </c>
      <c r="D263" s="140" t="s">
        <v>1050</v>
      </c>
      <c r="E263" s="145" t="s">
        <v>519</v>
      </c>
      <c r="F263" s="54" t="s">
        <v>40</v>
      </c>
      <c r="G263" s="54" t="s">
        <v>40</v>
      </c>
      <c r="H263" s="144" t="s">
        <v>1065</v>
      </c>
      <c r="I263" s="146"/>
      <c r="J263" s="147">
        <v>399</v>
      </c>
      <c r="K263" s="148"/>
      <c r="L263" s="147">
        <v>399</v>
      </c>
      <c r="M263" s="141" t="s">
        <v>840</v>
      </c>
      <c r="N263" s="2"/>
    </row>
    <row r="264" spans="1:14" ht="14.4">
      <c r="A264" s="142">
        <v>45719</v>
      </c>
      <c r="B264" s="143" t="s">
        <v>1066</v>
      </c>
      <c r="C264" s="144" t="s">
        <v>1067</v>
      </c>
      <c r="D264" s="140" t="s">
        <v>446</v>
      </c>
      <c r="E264" s="145" t="s">
        <v>519</v>
      </c>
      <c r="F264" s="54" t="s">
        <v>253</v>
      </c>
      <c r="G264" s="54" t="s">
        <v>23</v>
      </c>
      <c r="H264" s="144" t="s">
        <v>1068</v>
      </c>
      <c r="I264" s="144" t="s">
        <v>1069</v>
      </c>
      <c r="J264" s="147">
        <v>289</v>
      </c>
      <c r="K264" s="148"/>
      <c r="L264" s="147">
        <v>289</v>
      </c>
      <c r="M264" s="141" t="s">
        <v>840</v>
      </c>
    </row>
    <row r="265" spans="1:14" ht="14.4">
      <c r="A265" s="42">
        <v>45719</v>
      </c>
      <c r="B265" s="123" t="s">
        <v>1070</v>
      </c>
      <c r="C265" s="124" t="s">
        <v>1071</v>
      </c>
      <c r="D265" s="125" t="s">
        <v>985</v>
      </c>
      <c r="E265" s="126" t="s">
        <v>447</v>
      </c>
      <c r="F265" s="54" t="s">
        <v>22</v>
      </c>
      <c r="G265" s="54" t="s">
        <v>23</v>
      </c>
      <c r="H265" s="124" t="s">
        <v>1072</v>
      </c>
      <c r="I265" s="124" t="s">
        <v>1073</v>
      </c>
      <c r="J265" s="37">
        <v>207.1</v>
      </c>
      <c r="K265" s="37"/>
      <c r="L265" s="127">
        <v>345</v>
      </c>
      <c r="M265" s="98" t="s">
        <v>742</v>
      </c>
      <c r="N265" s="2"/>
    </row>
    <row r="266" spans="1:14" ht="14.4">
      <c r="A266" s="42">
        <v>45720</v>
      </c>
      <c r="B266" s="123" t="s">
        <v>1074</v>
      </c>
      <c r="C266" s="124" t="s">
        <v>1075</v>
      </c>
      <c r="D266" s="125" t="s">
        <v>1035</v>
      </c>
      <c r="E266" s="126" t="s">
        <v>519</v>
      </c>
      <c r="F266" s="54" t="s">
        <v>40</v>
      </c>
      <c r="G266" s="54" t="s">
        <v>40</v>
      </c>
      <c r="H266" s="124" t="s">
        <v>531</v>
      </c>
      <c r="I266" s="124"/>
      <c r="J266" s="37">
        <v>240</v>
      </c>
      <c r="K266" s="37"/>
      <c r="L266" s="127">
        <v>240</v>
      </c>
      <c r="M266" s="98" t="s">
        <v>645</v>
      </c>
      <c r="N266" s="2"/>
    </row>
    <row r="267" spans="1:14" ht="14.4">
      <c r="A267" s="42">
        <v>45720</v>
      </c>
      <c r="B267" s="137" t="s">
        <v>1076</v>
      </c>
      <c r="C267" s="149" t="s">
        <v>1062</v>
      </c>
      <c r="D267" s="140" t="s">
        <v>1033</v>
      </c>
      <c r="E267" s="126"/>
      <c r="F267" s="54" t="s">
        <v>40</v>
      </c>
      <c r="G267" s="54" t="s">
        <v>40</v>
      </c>
      <c r="H267" s="124" t="s">
        <v>1077</v>
      </c>
      <c r="I267" s="124"/>
      <c r="J267" s="38">
        <v>2107.41</v>
      </c>
      <c r="K267" s="37"/>
      <c r="L267" s="38">
        <v>2107.41</v>
      </c>
      <c r="M267" s="141" t="s">
        <v>840</v>
      </c>
      <c r="N267" s="2"/>
    </row>
    <row r="268" spans="1:14" ht="14.4">
      <c r="A268" s="42">
        <v>45721</v>
      </c>
      <c r="B268" s="123" t="s">
        <v>1078</v>
      </c>
      <c r="C268" s="124" t="s">
        <v>1079</v>
      </c>
      <c r="D268" s="125" t="s">
        <v>864</v>
      </c>
      <c r="E268" s="126" t="s">
        <v>447</v>
      </c>
      <c r="F268" s="54" t="s">
        <v>25</v>
      </c>
      <c r="G268" s="10" t="s">
        <v>25</v>
      </c>
      <c r="H268" s="124" t="s">
        <v>1080</v>
      </c>
      <c r="I268" s="124"/>
      <c r="J268" s="37">
        <v>1300</v>
      </c>
      <c r="K268" s="37"/>
      <c r="L268" s="127">
        <v>1300</v>
      </c>
      <c r="M268" s="98" t="s">
        <v>742</v>
      </c>
      <c r="N268" s="2"/>
    </row>
    <row r="269" spans="1:14" ht="14.4">
      <c r="A269" s="142">
        <v>45721</v>
      </c>
      <c r="B269" s="143" t="s">
        <v>1081</v>
      </c>
      <c r="C269" s="144" t="s">
        <v>1082</v>
      </c>
      <c r="D269" s="140" t="s">
        <v>1035</v>
      </c>
      <c r="E269" s="145" t="s">
        <v>519</v>
      </c>
      <c r="F269" s="54" t="s">
        <v>40</v>
      </c>
      <c r="G269" s="54" t="s">
        <v>40</v>
      </c>
      <c r="H269" s="144" t="s">
        <v>1051</v>
      </c>
      <c r="I269" s="146"/>
      <c r="J269" s="147">
        <v>90</v>
      </c>
      <c r="K269" s="148"/>
      <c r="L269" s="147">
        <v>90</v>
      </c>
      <c r="M269" s="141" t="s">
        <v>840</v>
      </c>
      <c r="N269" s="2"/>
    </row>
    <row r="270" spans="1:14" ht="14.4">
      <c r="A270" s="142">
        <v>45721</v>
      </c>
      <c r="B270" s="143" t="s">
        <v>1083</v>
      </c>
      <c r="C270" s="144" t="s">
        <v>1084</v>
      </c>
      <c r="D270" s="140" t="s">
        <v>446</v>
      </c>
      <c r="E270" s="145" t="s">
        <v>519</v>
      </c>
      <c r="F270" s="54" t="s">
        <v>33</v>
      </c>
      <c r="G270" s="54" t="s">
        <v>23</v>
      </c>
      <c r="H270" s="144" t="s">
        <v>869</v>
      </c>
      <c r="I270" s="39" t="s">
        <v>1085</v>
      </c>
      <c r="J270" s="147">
        <v>35</v>
      </c>
      <c r="K270" s="148"/>
      <c r="L270" s="147">
        <v>35</v>
      </c>
      <c r="M270" s="141" t="s">
        <v>840</v>
      </c>
      <c r="N270" s="2"/>
    </row>
    <row r="271" spans="1:14" ht="14.4">
      <c r="A271" s="42">
        <v>45721</v>
      </c>
      <c r="B271" s="123" t="s">
        <v>1086</v>
      </c>
      <c r="C271" s="124" t="s">
        <v>1087</v>
      </c>
      <c r="D271" s="125" t="s">
        <v>974</v>
      </c>
      <c r="E271" s="126" t="s">
        <v>519</v>
      </c>
      <c r="F271" s="54" t="s">
        <v>40</v>
      </c>
      <c r="G271" s="54" t="s">
        <v>40</v>
      </c>
      <c r="H271" s="124" t="s">
        <v>1088</v>
      </c>
      <c r="I271" s="124"/>
      <c r="J271" s="37">
        <v>110</v>
      </c>
      <c r="K271" s="37"/>
      <c r="L271" s="127">
        <v>110</v>
      </c>
      <c r="M271" s="98" t="s">
        <v>742</v>
      </c>
      <c r="N271" s="2"/>
    </row>
    <row r="272" spans="1:14" ht="14.4">
      <c r="A272" s="42">
        <v>45722</v>
      </c>
      <c r="B272" s="123" t="s">
        <v>1089</v>
      </c>
      <c r="C272" s="124" t="s">
        <v>1090</v>
      </c>
      <c r="D272" s="125" t="s">
        <v>985</v>
      </c>
      <c r="E272" s="126" t="s">
        <v>447</v>
      </c>
      <c r="F272" s="54" t="s">
        <v>22</v>
      </c>
      <c r="G272" s="54" t="s">
        <v>23</v>
      </c>
      <c r="H272" s="124" t="s">
        <v>1041</v>
      </c>
      <c r="I272" s="144" t="s">
        <v>1091</v>
      </c>
      <c r="J272" s="37">
        <v>114.5</v>
      </c>
      <c r="K272" s="37"/>
      <c r="L272" s="127">
        <f>J272+K272</f>
        <v>114.5</v>
      </c>
      <c r="M272" s="98" t="s">
        <v>742</v>
      </c>
      <c r="N272" s="2"/>
    </row>
    <row r="273" spans="1:14" ht="14.4">
      <c r="A273" s="42">
        <v>45722</v>
      </c>
      <c r="B273" s="123" t="s">
        <v>1092</v>
      </c>
      <c r="C273" s="124" t="s">
        <v>1093</v>
      </c>
      <c r="D273" s="125" t="s">
        <v>446</v>
      </c>
      <c r="E273" s="126" t="s">
        <v>447</v>
      </c>
      <c r="F273" s="54" t="s">
        <v>33</v>
      </c>
      <c r="G273" s="54" t="s">
        <v>23</v>
      </c>
      <c r="H273" s="124" t="s">
        <v>741</v>
      </c>
      <c r="I273" s="39" t="s">
        <v>1094</v>
      </c>
      <c r="J273" s="37">
        <v>75</v>
      </c>
      <c r="K273" s="37"/>
      <c r="L273" s="127">
        <v>180</v>
      </c>
      <c r="M273" s="141" t="s">
        <v>840</v>
      </c>
      <c r="N273" s="2"/>
    </row>
    <row r="274" spans="1:14" ht="14.4">
      <c r="A274" s="65">
        <v>45723</v>
      </c>
      <c r="B274" s="61" t="s">
        <v>1095</v>
      </c>
      <c r="C274" s="39" t="s">
        <v>1096</v>
      </c>
      <c r="D274" s="20" t="s">
        <v>985</v>
      </c>
      <c r="E274" s="54" t="s">
        <v>447</v>
      </c>
      <c r="F274" s="54" t="s">
        <v>22</v>
      </c>
      <c r="G274" s="54" t="s">
        <v>23</v>
      </c>
      <c r="H274" s="39" t="s">
        <v>1041</v>
      </c>
      <c r="I274" s="39" t="s">
        <v>1094</v>
      </c>
      <c r="J274" s="44">
        <v>150</v>
      </c>
      <c r="K274" s="44"/>
      <c r="L274" s="63">
        <v>300</v>
      </c>
      <c r="M274" s="98" t="s">
        <v>742</v>
      </c>
      <c r="N274" s="2"/>
    </row>
    <row r="275" spans="1:14" ht="14.4">
      <c r="A275" s="65">
        <v>45723</v>
      </c>
      <c r="B275" s="150" t="s">
        <v>1097</v>
      </c>
      <c r="C275" s="150" t="s">
        <v>1098</v>
      </c>
      <c r="D275" s="20" t="s">
        <v>864</v>
      </c>
      <c r="E275" s="54" t="s">
        <v>447</v>
      </c>
      <c r="F275" s="54" t="s">
        <v>25</v>
      </c>
      <c r="G275" s="10" t="s">
        <v>25</v>
      </c>
      <c r="H275" s="39" t="s">
        <v>1099</v>
      </c>
      <c r="I275" s="39" t="s">
        <v>14</v>
      </c>
      <c r="J275" s="44">
        <v>1180</v>
      </c>
      <c r="K275" s="44"/>
      <c r="L275" s="63">
        <v>1180</v>
      </c>
      <c r="M275" s="98" t="s">
        <v>742</v>
      </c>
      <c r="N275" s="2"/>
    </row>
    <row r="276" spans="1:14" ht="14.4">
      <c r="A276" s="142">
        <v>45723</v>
      </c>
      <c r="B276" s="143" t="s">
        <v>1100</v>
      </c>
      <c r="C276" s="144" t="s">
        <v>1101</v>
      </c>
      <c r="D276" s="140" t="s">
        <v>1033</v>
      </c>
      <c r="E276" s="145" t="s">
        <v>447</v>
      </c>
      <c r="F276" s="54" t="s">
        <v>40</v>
      </c>
      <c r="G276" s="54" t="s">
        <v>40</v>
      </c>
      <c r="H276" s="144" t="s">
        <v>1102</v>
      </c>
      <c r="I276" s="146"/>
      <c r="J276" s="147">
        <v>1053.7</v>
      </c>
      <c r="K276" s="148"/>
      <c r="L276" s="147">
        <v>1053.7</v>
      </c>
      <c r="M276" s="141" t="s">
        <v>840</v>
      </c>
      <c r="N276" s="2"/>
    </row>
    <row r="277" spans="1:14" ht="14.4">
      <c r="A277" s="142">
        <v>45723</v>
      </c>
      <c r="B277" s="143" t="s">
        <v>1100</v>
      </c>
      <c r="C277" s="144" t="s">
        <v>1101</v>
      </c>
      <c r="D277" s="140" t="s">
        <v>1033</v>
      </c>
      <c r="E277" s="145" t="s">
        <v>447</v>
      </c>
      <c r="F277" s="54" t="s">
        <v>40</v>
      </c>
      <c r="G277" s="54" t="s">
        <v>40</v>
      </c>
      <c r="H277" s="144" t="s">
        <v>1102</v>
      </c>
      <c r="I277" s="146"/>
      <c r="J277" s="147">
        <v>1053.7</v>
      </c>
      <c r="K277" s="148"/>
      <c r="L277" s="147">
        <v>1053.7</v>
      </c>
      <c r="M277" s="64" t="s">
        <v>480</v>
      </c>
      <c r="N277" s="2"/>
    </row>
    <row r="278" spans="1:14" ht="14.4">
      <c r="A278" s="65">
        <v>45723</v>
      </c>
      <c r="B278" s="150" t="s">
        <v>1103</v>
      </c>
      <c r="C278" s="150" t="s">
        <v>1104</v>
      </c>
      <c r="D278" s="20" t="s">
        <v>446</v>
      </c>
      <c r="E278" s="54" t="s">
        <v>447</v>
      </c>
      <c r="F278" s="54" t="s">
        <v>33</v>
      </c>
      <c r="G278" s="54" t="s">
        <v>23</v>
      </c>
      <c r="H278" s="39" t="s">
        <v>919</v>
      </c>
      <c r="I278" s="39" t="s">
        <v>1105</v>
      </c>
      <c r="J278" s="44">
        <v>80</v>
      </c>
      <c r="K278" s="44"/>
      <c r="L278" s="63">
        <v>80</v>
      </c>
      <c r="M278" s="98" t="s">
        <v>742</v>
      </c>
      <c r="N278" s="2"/>
    </row>
    <row r="279" spans="1:14" ht="14.4">
      <c r="A279" s="142">
        <v>45723</v>
      </c>
      <c r="B279" s="143" t="s">
        <v>1106</v>
      </c>
      <c r="C279" s="144" t="s">
        <v>1107</v>
      </c>
      <c r="D279" s="140" t="s">
        <v>1035</v>
      </c>
      <c r="E279" s="145" t="s">
        <v>447</v>
      </c>
      <c r="F279" s="54" t="s">
        <v>40</v>
      </c>
      <c r="G279" s="54" t="s">
        <v>40</v>
      </c>
      <c r="H279" s="144" t="s">
        <v>1108</v>
      </c>
      <c r="I279" s="146"/>
      <c r="J279" s="147">
        <v>2037</v>
      </c>
      <c r="K279" s="148"/>
      <c r="L279" s="147">
        <v>2037</v>
      </c>
      <c r="M279" s="141" t="s">
        <v>840</v>
      </c>
      <c r="N279" s="2"/>
    </row>
    <row r="280" spans="1:14" ht="14.4">
      <c r="A280" s="65">
        <v>45723</v>
      </c>
      <c r="B280" s="150" t="s">
        <v>1109</v>
      </c>
      <c r="C280" s="150" t="s">
        <v>1110</v>
      </c>
      <c r="D280" s="20" t="s">
        <v>502</v>
      </c>
      <c r="E280" s="54" t="s">
        <v>447</v>
      </c>
      <c r="F280" s="54" t="s">
        <v>33</v>
      </c>
      <c r="G280" s="54" t="s">
        <v>23</v>
      </c>
      <c r="H280" s="39" t="s">
        <v>919</v>
      </c>
      <c r="I280" s="39" t="s">
        <v>1111</v>
      </c>
      <c r="J280" s="44">
        <v>80</v>
      </c>
      <c r="K280" s="44"/>
      <c r="L280" s="63">
        <v>80</v>
      </c>
      <c r="M280" s="98" t="s">
        <v>742</v>
      </c>
      <c r="N280" s="2"/>
    </row>
    <row r="281" spans="1:14" ht="14.4">
      <c r="A281" s="65">
        <v>45724</v>
      </c>
      <c r="B281" s="61" t="s">
        <v>1112</v>
      </c>
      <c r="C281" s="39" t="s">
        <v>1113</v>
      </c>
      <c r="D281" s="20" t="s">
        <v>280</v>
      </c>
      <c r="E281" s="54" t="s">
        <v>447</v>
      </c>
      <c r="F281" s="54" t="s">
        <v>33</v>
      </c>
      <c r="G281" s="54" t="s">
        <v>23</v>
      </c>
      <c r="H281" s="39" t="s">
        <v>919</v>
      </c>
      <c r="I281" s="144" t="s">
        <v>1091</v>
      </c>
      <c r="J281" s="44">
        <v>80</v>
      </c>
      <c r="K281" s="44"/>
      <c r="L281" s="63">
        <v>80</v>
      </c>
      <c r="M281" s="98" t="s">
        <v>742</v>
      </c>
      <c r="N281" s="2"/>
    </row>
    <row r="282" spans="1:14" ht="14.4">
      <c r="A282" s="65">
        <v>45724</v>
      </c>
      <c r="B282" s="61" t="s">
        <v>1114</v>
      </c>
      <c r="C282" s="39" t="s">
        <v>1115</v>
      </c>
      <c r="D282" s="20" t="s">
        <v>446</v>
      </c>
      <c r="E282" s="54" t="s">
        <v>519</v>
      </c>
      <c r="F282" s="54" t="s">
        <v>33</v>
      </c>
      <c r="G282" s="54" t="s">
        <v>23</v>
      </c>
      <c r="H282" s="39" t="s">
        <v>1116</v>
      </c>
      <c r="I282" s="39" t="s">
        <v>1111</v>
      </c>
      <c r="J282" s="44">
        <v>80</v>
      </c>
      <c r="K282" s="44"/>
      <c r="L282" s="63">
        <v>80</v>
      </c>
      <c r="M282" s="141" t="s">
        <v>840</v>
      </c>
      <c r="N282" s="2"/>
    </row>
    <row r="283" spans="1:14" ht="14.4">
      <c r="A283" s="142">
        <v>45724</v>
      </c>
      <c r="B283" s="143" t="s">
        <v>1112</v>
      </c>
      <c r="C283" s="39" t="s">
        <v>1113</v>
      </c>
      <c r="D283" s="140" t="s">
        <v>280</v>
      </c>
      <c r="E283" s="145" t="s">
        <v>447</v>
      </c>
      <c r="F283" s="54" t="s">
        <v>33</v>
      </c>
      <c r="G283" s="54" t="s">
        <v>23</v>
      </c>
      <c r="H283" s="144" t="s">
        <v>1117</v>
      </c>
      <c r="I283" s="144" t="s">
        <v>1091</v>
      </c>
      <c r="J283" s="147">
        <v>1000</v>
      </c>
      <c r="K283" s="147"/>
      <c r="L283" s="147">
        <v>2000</v>
      </c>
      <c r="M283" s="98" t="s">
        <v>742</v>
      </c>
      <c r="N283" s="2"/>
    </row>
    <row r="284" spans="1:14" ht="14.4">
      <c r="A284" s="65">
        <v>45724</v>
      </c>
      <c r="B284" s="61" t="s">
        <v>1118</v>
      </c>
      <c r="C284" s="39" t="s">
        <v>1119</v>
      </c>
      <c r="D284" s="20" t="s">
        <v>985</v>
      </c>
      <c r="E284" s="54" t="s">
        <v>519</v>
      </c>
      <c r="F284" s="54" t="s">
        <v>22</v>
      </c>
      <c r="G284" s="54" t="s">
        <v>23</v>
      </c>
      <c r="H284" s="39" t="s">
        <v>1120</v>
      </c>
      <c r="I284" s="39" t="s">
        <v>1121</v>
      </c>
      <c r="J284" s="44">
        <v>115</v>
      </c>
      <c r="K284" s="44">
        <v>114</v>
      </c>
      <c r="L284" s="63">
        <v>229</v>
      </c>
      <c r="M284" s="64" t="s">
        <v>1122</v>
      </c>
      <c r="N284" s="2"/>
    </row>
    <row r="285" spans="1:14" ht="14.4">
      <c r="A285" s="151">
        <v>45726</v>
      </c>
      <c r="B285" s="152" t="s">
        <v>1123</v>
      </c>
      <c r="C285" s="153" t="s">
        <v>1124</v>
      </c>
      <c r="D285" s="20" t="s">
        <v>985</v>
      </c>
      <c r="E285" s="54" t="s">
        <v>519</v>
      </c>
      <c r="F285" s="54" t="s">
        <v>22</v>
      </c>
      <c r="G285" s="54" t="s">
        <v>23</v>
      </c>
      <c r="H285" s="153" t="s">
        <v>1125</v>
      </c>
      <c r="I285" s="153" t="s">
        <v>1126</v>
      </c>
      <c r="J285" s="154">
        <v>100</v>
      </c>
      <c r="K285" s="154">
        <v>109</v>
      </c>
      <c r="L285" s="155">
        <v>209</v>
      </c>
      <c r="M285" s="64" t="s">
        <v>1122</v>
      </c>
      <c r="N285" s="2"/>
    </row>
    <row r="286" spans="1:14" ht="14.4">
      <c r="A286" s="151">
        <v>45726</v>
      </c>
      <c r="B286" s="152" t="s">
        <v>1127</v>
      </c>
      <c r="C286" s="153" t="s">
        <v>1128</v>
      </c>
      <c r="D286" s="20" t="s">
        <v>446</v>
      </c>
      <c r="E286" s="54" t="s">
        <v>447</v>
      </c>
      <c r="F286" s="54" t="s">
        <v>33</v>
      </c>
      <c r="G286" s="54" t="s">
        <v>23</v>
      </c>
      <c r="H286" s="153" t="s">
        <v>1129</v>
      </c>
      <c r="I286" s="153" t="s">
        <v>1130</v>
      </c>
      <c r="J286" s="154">
        <f>185/2</f>
        <v>92.5</v>
      </c>
      <c r="K286" s="154"/>
      <c r="L286" s="155">
        <v>180</v>
      </c>
      <c r="M286" s="98" t="s">
        <v>742</v>
      </c>
      <c r="N286" s="2"/>
    </row>
    <row r="287" spans="1:14" ht="14.4">
      <c r="A287" s="65">
        <v>45726</v>
      </c>
      <c r="B287" s="61" t="s">
        <v>1131</v>
      </c>
      <c r="C287" s="39" t="s">
        <v>1132</v>
      </c>
      <c r="D287" s="20" t="s">
        <v>985</v>
      </c>
      <c r="E287" s="54" t="s">
        <v>519</v>
      </c>
      <c r="F287" s="54" t="s">
        <v>22</v>
      </c>
      <c r="G287" s="54" t="s">
        <v>23</v>
      </c>
      <c r="H287" s="39" t="s">
        <v>1120</v>
      </c>
      <c r="I287" s="39" t="s">
        <v>1055</v>
      </c>
      <c r="J287" s="44">
        <v>130</v>
      </c>
      <c r="K287" s="44">
        <v>129</v>
      </c>
      <c r="L287" s="63">
        <v>259</v>
      </c>
      <c r="M287" s="64" t="s">
        <v>1122</v>
      </c>
      <c r="N287" s="2"/>
    </row>
    <row r="288" spans="1:14" ht="14.4">
      <c r="A288" s="65">
        <v>45727</v>
      </c>
      <c r="B288" s="61" t="s">
        <v>1133</v>
      </c>
      <c r="C288" s="39" t="s">
        <v>1134</v>
      </c>
      <c r="D288" s="20" t="s">
        <v>27</v>
      </c>
      <c r="E288" s="54" t="s">
        <v>447</v>
      </c>
      <c r="F288" s="54" t="s">
        <v>27</v>
      </c>
      <c r="G288" s="54" t="s">
        <v>27</v>
      </c>
      <c r="H288" s="39" t="s">
        <v>1135</v>
      </c>
      <c r="I288" s="39" t="s">
        <v>14</v>
      </c>
      <c r="J288" s="44">
        <v>350</v>
      </c>
      <c r="K288" s="44"/>
      <c r="L288" s="63">
        <v>350</v>
      </c>
      <c r="M288" s="98" t="s">
        <v>742</v>
      </c>
      <c r="N288" s="2"/>
    </row>
    <row r="289" spans="1:14" ht="14.4">
      <c r="A289" s="65">
        <v>45728</v>
      </c>
      <c r="B289" s="61" t="s">
        <v>1136</v>
      </c>
      <c r="C289" s="39" t="s">
        <v>1137</v>
      </c>
      <c r="D289" s="20" t="s">
        <v>992</v>
      </c>
      <c r="E289" s="54" t="s">
        <v>447</v>
      </c>
      <c r="F289" s="54" t="s">
        <v>56</v>
      </c>
      <c r="G289" s="54" t="s">
        <v>56</v>
      </c>
      <c r="H289" s="39" t="s">
        <v>993</v>
      </c>
      <c r="I289" s="39"/>
      <c r="J289" s="44">
        <v>99</v>
      </c>
      <c r="K289" s="44"/>
      <c r="L289" s="63">
        <v>99</v>
      </c>
      <c r="M289" s="98" t="s">
        <v>645</v>
      </c>
      <c r="N289" s="2"/>
    </row>
    <row r="290" spans="1:14" ht="14.4">
      <c r="A290" s="65">
        <v>45728</v>
      </c>
      <c r="B290" s="61" t="s">
        <v>1138</v>
      </c>
      <c r="C290" s="39" t="s">
        <v>1139</v>
      </c>
      <c r="D290" s="20" t="s">
        <v>280</v>
      </c>
      <c r="E290" s="54" t="s">
        <v>447</v>
      </c>
      <c r="F290" s="54" t="s">
        <v>22</v>
      </c>
      <c r="G290" s="54" t="s">
        <v>23</v>
      </c>
      <c r="H290" s="39" t="s">
        <v>1019</v>
      </c>
      <c r="I290" s="39" t="s">
        <v>1069</v>
      </c>
      <c r="J290" s="44">
        <v>120</v>
      </c>
      <c r="K290" s="44"/>
      <c r="L290" s="63">
        <v>270</v>
      </c>
      <c r="M290" s="98" t="s">
        <v>742</v>
      </c>
      <c r="N290" s="2"/>
    </row>
    <row r="291" spans="1:14" ht="14.4">
      <c r="A291" s="65">
        <v>45728</v>
      </c>
      <c r="B291" s="61" t="s">
        <v>1140</v>
      </c>
      <c r="C291" s="39" t="s">
        <v>1141</v>
      </c>
      <c r="D291" s="20" t="s">
        <v>985</v>
      </c>
      <c r="E291" s="54" t="s">
        <v>447</v>
      </c>
      <c r="F291" s="54" t="s">
        <v>22</v>
      </c>
      <c r="G291" s="54" t="s">
        <v>23</v>
      </c>
      <c r="H291" s="39" t="s">
        <v>1030</v>
      </c>
      <c r="I291" s="39" t="s">
        <v>1142</v>
      </c>
      <c r="J291" s="44">
        <v>282.5</v>
      </c>
      <c r="K291" s="44"/>
      <c r="L291" s="63">
        <f>282.5*2</f>
        <v>565</v>
      </c>
      <c r="M291" s="98" t="s">
        <v>742</v>
      </c>
      <c r="N291" s="2"/>
    </row>
    <row r="292" spans="1:14" ht="14.4">
      <c r="A292" s="65">
        <v>45728</v>
      </c>
      <c r="B292" s="61" t="s">
        <v>1143</v>
      </c>
      <c r="C292" s="156" t="s">
        <v>1144</v>
      </c>
      <c r="D292" s="20" t="s">
        <v>446</v>
      </c>
      <c r="E292" s="54" t="s">
        <v>519</v>
      </c>
      <c r="F292" s="54" t="s">
        <v>33</v>
      </c>
      <c r="G292" s="54" t="s">
        <v>23</v>
      </c>
      <c r="H292" s="39" t="s">
        <v>758</v>
      </c>
      <c r="I292" s="39" t="s">
        <v>1145</v>
      </c>
      <c r="J292" s="44">
        <v>447.5</v>
      </c>
      <c r="K292" s="44"/>
      <c r="L292" s="63">
        <v>447.5</v>
      </c>
      <c r="M292" s="141" t="s">
        <v>840</v>
      </c>
      <c r="N292" s="2"/>
    </row>
    <row r="293" spans="1:14" ht="14.4">
      <c r="A293" s="142">
        <v>45728</v>
      </c>
      <c r="B293" s="143" t="s">
        <v>1146</v>
      </c>
      <c r="C293" s="144" t="s">
        <v>1147</v>
      </c>
      <c r="D293" s="140" t="s">
        <v>1035</v>
      </c>
      <c r="E293" s="145" t="s">
        <v>447</v>
      </c>
      <c r="F293" s="54" t="s">
        <v>40</v>
      </c>
      <c r="G293" s="54" t="s">
        <v>40</v>
      </c>
      <c r="H293" s="144" t="s">
        <v>1065</v>
      </c>
      <c r="I293" s="146"/>
      <c r="J293" s="44">
        <v>527.73</v>
      </c>
      <c r="K293" s="148"/>
      <c r="L293" s="147">
        <v>527.73</v>
      </c>
      <c r="M293" s="157" t="s">
        <v>840</v>
      </c>
      <c r="N293" s="2"/>
    </row>
    <row r="294" spans="1:14" ht="14.4">
      <c r="A294" s="65">
        <v>45728</v>
      </c>
      <c r="B294" s="61" t="s">
        <v>1148</v>
      </c>
      <c r="C294" s="39" t="s">
        <v>1147</v>
      </c>
      <c r="D294" s="20" t="s">
        <v>1035</v>
      </c>
      <c r="E294" s="54" t="s">
        <v>447</v>
      </c>
      <c r="F294" s="54" t="s">
        <v>40</v>
      </c>
      <c r="G294" s="54" t="s">
        <v>40</v>
      </c>
      <c r="H294" s="39" t="s">
        <v>1065</v>
      </c>
      <c r="I294" s="39"/>
      <c r="J294" s="44">
        <v>527.73</v>
      </c>
      <c r="K294" s="44"/>
      <c r="L294" s="63">
        <v>527.73</v>
      </c>
      <c r="M294" s="64" t="s">
        <v>480</v>
      </c>
      <c r="N294" s="2"/>
    </row>
    <row r="295" spans="1:14" ht="14.4">
      <c r="A295" s="65">
        <v>45728</v>
      </c>
      <c r="B295" s="61" t="s">
        <v>1149</v>
      </c>
      <c r="C295" s="39" t="s">
        <v>1150</v>
      </c>
      <c r="D295" s="20" t="s">
        <v>1033</v>
      </c>
      <c r="E295" s="54" t="s">
        <v>519</v>
      </c>
      <c r="F295" s="54" t="s">
        <v>40</v>
      </c>
      <c r="G295" s="54" t="s">
        <v>40</v>
      </c>
      <c r="H295" s="39" t="s">
        <v>1151</v>
      </c>
      <c r="I295" s="39"/>
      <c r="J295" s="44">
        <v>1300</v>
      </c>
      <c r="K295" s="44"/>
      <c r="L295" s="63">
        <v>1300</v>
      </c>
      <c r="M295" s="141" t="s">
        <v>840</v>
      </c>
      <c r="N295" s="2"/>
    </row>
    <row r="296" spans="1:14" ht="14.4">
      <c r="A296" s="65">
        <v>45728</v>
      </c>
      <c r="B296" s="61" t="s">
        <v>1152</v>
      </c>
      <c r="C296" s="39" t="s">
        <v>1153</v>
      </c>
      <c r="D296" s="20" t="s">
        <v>1035</v>
      </c>
      <c r="E296" s="54" t="s">
        <v>519</v>
      </c>
      <c r="F296" s="54" t="s">
        <v>40</v>
      </c>
      <c r="G296" s="54" t="s">
        <v>40</v>
      </c>
      <c r="H296" s="39" t="s">
        <v>1051</v>
      </c>
      <c r="I296" s="39"/>
      <c r="J296" s="44">
        <v>100</v>
      </c>
      <c r="K296" s="44"/>
      <c r="L296" s="63">
        <v>100</v>
      </c>
      <c r="M296" s="141" t="s">
        <v>840</v>
      </c>
      <c r="N296" s="2"/>
    </row>
    <row r="297" spans="1:14" ht="14.4">
      <c r="A297" s="65">
        <v>45728</v>
      </c>
      <c r="B297" s="61" t="s">
        <v>1143</v>
      </c>
      <c r="C297" s="39" t="s">
        <v>1144</v>
      </c>
      <c r="D297" s="20" t="s">
        <v>446</v>
      </c>
      <c r="E297" s="54" t="s">
        <v>519</v>
      </c>
      <c r="F297" s="54" t="s">
        <v>33</v>
      </c>
      <c r="G297" s="54" t="s">
        <v>23</v>
      </c>
      <c r="H297" s="39" t="s">
        <v>758</v>
      </c>
      <c r="I297" s="39" t="s">
        <v>1145</v>
      </c>
      <c r="J297" s="44">
        <v>447.5</v>
      </c>
      <c r="K297" s="44"/>
      <c r="L297" s="63">
        <v>447.5</v>
      </c>
      <c r="M297" s="98" t="s">
        <v>742</v>
      </c>
      <c r="N297" s="2"/>
    </row>
    <row r="298" spans="1:14" ht="14.4">
      <c r="A298" s="65">
        <v>45729</v>
      </c>
      <c r="B298" s="61" t="s">
        <v>1154</v>
      </c>
      <c r="C298" s="39" t="s">
        <v>1155</v>
      </c>
      <c r="D298" s="20" t="s">
        <v>974</v>
      </c>
      <c r="E298" s="54" t="s">
        <v>519</v>
      </c>
      <c r="F298" s="54" t="s">
        <v>40</v>
      </c>
      <c r="G298" s="54" t="s">
        <v>40</v>
      </c>
      <c r="H298" s="39" t="s">
        <v>1156</v>
      </c>
      <c r="I298" s="39" t="s">
        <v>14</v>
      </c>
      <c r="J298" s="44">
        <v>350</v>
      </c>
      <c r="K298" s="44"/>
      <c r="L298" s="63">
        <v>350</v>
      </c>
      <c r="M298" s="98" t="s">
        <v>742</v>
      </c>
      <c r="N298" s="2"/>
    </row>
    <row r="299" spans="1:14" ht="14.4">
      <c r="A299" s="65">
        <v>45729</v>
      </c>
      <c r="B299" s="61" t="s">
        <v>1157</v>
      </c>
      <c r="C299" s="39" t="s">
        <v>1158</v>
      </c>
      <c r="D299" s="20" t="s">
        <v>280</v>
      </c>
      <c r="E299" s="54" t="s">
        <v>519</v>
      </c>
      <c r="F299" s="54" t="s">
        <v>33</v>
      </c>
      <c r="G299" s="54" t="s">
        <v>23</v>
      </c>
      <c r="H299" s="39" t="s">
        <v>1027</v>
      </c>
      <c r="I299" s="39" t="s">
        <v>1159</v>
      </c>
      <c r="J299" s="44">
        <v>350</v>
      </c>
      <c r="K299" s="44">
        <f>L299-J299</f>
        <v>195</v>
      </c>
      <c r="L299" s="63">
        <v>545</v>
      </c>
      <c r="M299" s="98" t="s">
        <v>742</v>
      </c>
      <c r="N299" s="2"/>
    </row>
    <row r="300" spans="1:14" ht="14.4">
      <c r="A300" s="65">
        <v>45729</v>
      </c>
      <c r="B300" s="61" t="s">
        <v>1160</v>
      </c>
      <c r="C300" s="39" t="s">
        <v>1161</v>
      </c>
      <c r="D300" s="20" t="s">
        <v>502</v>
      </c>
      <c r="E300" s="54" t="s">
        <v>447</v>
      </c>
      <c r="F300" s="54" t="s">
        <v>33</v>
      </c>
      <c r="G300" s="54" t="s">
        <v>23</v>
      </c>
      <c r="H300" s="39" t="s">
        <v>886</v>
      </c>
      <c r="I300" s="39" t="s">
        <v>1085</v>
      </c>
      <c r="J300" s="44">
        <v>45</v>
      </c>
      <c r="K300" s="44"/>
      <c r="L300" s="63">
        <v>45</v>
      </c>
      <c r="M300" s="98" t="s">
        <v>742</v>
      </c>
      <c r="N300" s="2"/>
    </row>
    <row r="301" spans="1:14" ht="14.4">
      <c r="A301" s="65">
        <v>45729</v>
      </c>
      <c r="B301" s="61" t="s">
        <v>1162</v>
      </c>
      <c r="C301" s="39" t="s">
        <v>1163</v>
      </c>
      <c r="D301" s="20" t="s">
        <v>985</v>
      </c>
      <c r="E301" s="54" t="s">
        <v>447</v>
      </c>
      <c r="F301" s="54" t="s">
        <v>22</v>
      </c>
      <c r="G301" s="54" t="s">
        <v>23</v>
      </c>
      <c r="H301" s="39" t="s">
        <v>1019</v>
      </c>
      <c r="I301" s="39" t="s">
        <v>1164</v>
      </c>
      <c r="J301" s="44">
        <v>174.5</v>
      </c>
      <c r="K301" s="44">
        <f>L301-J301</f>
        <v>174.5</v>
      </c>
      <c r="L301" s="63">
        <f>J301*2</f>
        <v>349</v>
      </c>
      <c r="M301" s="98" t="s">
        <v>742</v>
      </c>
      <c r="N301" s="2"/>
    </row>
    <row r="302" spans="1:14" ht="14.4">
      <c r="A302" s="65">
        <v>45729</v>
      </c>
      <c r="B302" s="61" t="s">
        <v>1165</v>
      </c>
      <c r="C302" s="39" t="s">
        <v>1166</v>
      </c>
      <c r="D302" s="20" t="s">
        <v>1033</v>
      </c>
      <c r="E302" s="54" t="s">
        <v>519</v>
      </c>
      <c r="F302" s="54" t="s">
        <v>40</v>
      </c>
      <c r="G302" s="54" t="s">
        <v>40</v>
      </c>
      <c r="H302" s="39" t="s">
        <v>1167</v>
      </c>
      <c r="I302" s="39"/>
      <c r="J302" s="44">
        <v>2800</v>
      </c>
      <c r="K302" s="44"/>
      <c r="L302" s="63">
        <v>2800</v>
      </c>
      <c r="M302" s="141" t="s">
        <v>840</v>
      </c>
      <c r="N302" s="2"/>
    </row>
    <row r="303" spans="1:14" ht="14.4">
      <c r="A303" s="65">
        <v>45729</v>
      </c>
      <c r="B303" s="61" t="s">
        <v>1168</v>
      </c>
      <c r="C303" s="39" t="s">
        <v>1169</v>
      </c>
      <c r="D303" s="20" t="s">
        <v>1033</v>
      </c>
      <c r="E303" s="54" t="s">
        <v>519</v>
      </c>
      <c r="F303" s="54" t="s">
        <v>40</v>
      </c>
      <c r="G303" s="54" t="s">
        <v>40</v>
      </c>
      <c r="H303" s="39" t="s">
        <v>1170</v>
      </c>
      <c r="I303" s="39"/>
      <c r="J303" s="44">
        <v>160</v>
      </c>
      <c r="K303" s="44"/>
      <c r="L303" s="63">
        <v>160</v>
      </c>
      <c r="M303" s="141" t="s">
        <v>840</v>
      </c>
      <c r="N303" s="2"/>
    </row>
    <row r="304" spans="1:14" ht="14.4">
      <c r="A304" s="65">
        <v>45729</v>
      </c>
      <c r="B304" s="61" t="s">
        <v>1171</v>
      </c>
      <c r="C304" s="39" t="s">
        <v>1172</v>
      </c>
      <c r="D304" s="20" t="s">
        <v>985</v>
      </c>
      <c r="E304" s="54" t="s">
        <v>519</v>
      </c>
      <c r="F304" s="54" t="s">
        <v>22</v>
      </c>
      <c r="G304" s="54" t="s">
        <v>23</v>
      </c>
      <c r="H304" s="39" t="s">
        <v>1030</v>
      </c>
      <c r="I304" s="39" t="s">
        <v>1173</v>
      </c>
      <c r="J304" s="44">
        <v>230</v>
      </c>
      <c r="K304" s="44">
        <v>230</v>
      </c>
      <c r="L304" s="63">
        <v>460</v>
      </c>
      <c r="M304" s="98" t="s">
        <v>742</v>
      </c>
      <c r="N304" s="2"/>
    </row>
    <row r="305" spans="1:14" ht="14.4">
      <c r="A305" s="65">
        <v>45730</v>
      </c>
      <c r="B305" s="61" t="s">
        <v>1174</v>
      </c>
      <c r="C305" s="39" t="s">
        <v>1175</v>
      </c>
      <c r="D305" s="20" t="s">
        <v>446</v>
      </c>
      <c r="E305" s="54" t="s">
        <v>447</v>
      </c>
      <c r="F305" s="54" t="s">
        <v>205</v>
      </c>
      <c r="G305" s="54" t="s">
        <v>23</v>
      </c>
      <c r="H305" s="39" t="s">
        <v>1176</v>
      </c>
      <c r="I305" s="39" t="s">
        <v>1085</v>
      </c>
      <c r="J305" s="44">
        <v>150</v>
      </c>
      <c r="K305" s="44"/>
      <c r="L305" s="63">
        <v>295</v>
      </c>
      <c r="M305" s="98" t="s">
        <v>742</v>
      </c>
      <c r="N305" s="2"/>
    </row>
    <row r="306" spans="1:14" ht="14.4">
      <c r="A306" s="65">
        <v>45730</v>
      </c>
      <c r="B306" s="61" t="s">
        <v>1177</v>
      </c>
      <c r="C306" s="39" t="s">
        <v>1178</v>
      </c>
      <c r="D306" s="20" t="s">
        <v>502</v>
      </c>
      <c r="E306" s="54" t="s">
        <v>447</v>
      </c>
      <c r="F306" s="54" t="s">
        <v>33</v>
      </c>
      <c r="G306" s="54" t="s">
        <v>23</v>
      </c>
      <c r="H306" s="39" t="s">
        <v>886</v>
      </c>
      <c r="I306" s="39" t="s">
        <v>1091</v>
      </c>
      <c r="J306" s="44">
        <v>65</v>
      </c>
      <c r="K306" s="44"/>
      <c r="L306" s="63">
        <v>65</v>
      </c>
      <c r="M306" s="64" t="s">
        <v>742</v>
      </c>
      <c r="N306" s="2"/>
    </row>
    <row r="307" spans="1:14" ht="14.4">
      <c r="A307" s="65">
        <v>45731</v>
      </c>
      <c r="B307" s="61" t="s">
        <v>1179</v>
      </c>
      <c r="C307" s="39" t="s">
        <v>1180</v>
      </c>
      <c r="D307" s="20" t="s">
        <v>864</v>
      </c>
      <c r="E307" s="54" t="s">
        <v>447</v>
      </c>
      <c r="F307" s="54" t="s">
        <v>25</v>
      </c>
      <c r="G307" s="10" t="s">
        <v>25</v>
      </c>
      <c r="H307" s="39" t="s">
        <v>1181</v>
      </c>
      <c r="I307" s="39" t="s">
        <v>14</v>
      </c>
      <c r="J307" s="44">
        <v>590</v>
      </c>
      <c r="K307" s="44"/>
      <c r="L307" s="63">
        <v>590</v>
      </c>
      <c r="M307" s="64" t="s">
        <v>742</v>
      </c>
      <c r="N307" s="2"/>
    </row>
    <row r="308" spans="1:14" ht="14.4">
      <c r="A308" s="65">
        <v>45731</v>
      </c>
      <c r="B308" s="61" t="s">
        <v>1182</v>
      </c>
      <c r="C308" s="39" t="s">
        <v>1183</v>
      </c>
      <c r="D308" s="20" t="s">
        <v>1050</v>
      </c>
      <c r="E308" s="54" t="s">
        <v>519</v>
      </c>
      <c r="F308" s="54" t="s">
        <v>40</v>
      </c>
      <c r="G308" s="54" t="s">
        <v>40</v>
      </c>
      <c r="H308" s="39" t="s">
        <v>1051</v>
      </c>
      <c r="I308" s="39"/>
      <c r="J308" s="44">
        <v>90</v>
      </c>
      <c r="K308" s="44"/>
      <c r="L308" s="63">
        <v>90</v>
      </c>
      <c r="M308" s="141" t="s">
        <v>840</v>
      </c>
      <c r="N308" s="2"/>
    </row>
    <row r="309" spans="1:14" ht="14.4">
      <c r="A309" s="65">
        <v>45731</v>
      </c>
      <c r="B309" s="61" t="s">
        <v>1184</v>
      </c>
      <c r="C309" s="39" t="s">
        <v>1185</v>
      </c>
      <c r="D309" s="20" t="s">
        <v>1035</v>
      </c>
      <c r="E309" s="54" t="s">
        <v>447</v>
      </c>
      <c r="F309" s="54" t="s">
        <v>40</v>
      </c>
      <c r="G309" s="54" t="s">
        <v>40</v>
      </c>
      <c r="H309" s="39" t="s">
        <v>1051</v>
      </c>
      <c r="I309" s="39"/>
      <c r="J309" s="44">
        <v>141.19999999999999</v>
      </c>
      <c r="K309" s="44"/>
      <c r="L309" s="63">
        <v>141.19999999999999</v>
      </c>
      <c r="M309" s="141" t="s">
        <v>840</v>
      </c>
      <c r="N309" s="2"/>
    </row>
    <row r="310" spans="1:14" ht="14.4">
      <c r="A310" s="65">
        <v>45733</v>
      </c>
      <c r="B310" s="61" t="s">
        <v>1179</v>
      </c>
      <c r="C310" s="39" t="s">
        <v>1180</v>
      </c>
      <c r="D310" s="20" t="s">
        <v>864</v>
      </c>
      <c r="E310" s="54" t="s">
        <v>447</v>
      </c>
      <c r="F310" s="54" t="s">
        <v>25</v>
      </c>
      <c r="G310" s="10" t="s">
        <v>25</v>
      </c>
      <c r="H310" s="39" t="s">
        <v>1186</v>
      </c>
      <c r="I310" s="39" t="s">
        <v>14</v>
      </c>
      <c r="J310" s="44">
        <v>1180</v>
      </c>
      <c r="K310" s="44"/>
      <c r="L310" s="63">
        <v>1180</v>
      </c>
      <c r="M310" s="64" t="s">
        <v>742</v>
      </c>
      <c r="N310" s="2"/>
    </row>
    <row r="311" spans="1:14" ht="14.4">
      <c r="A311" s="65">
        <v>45733</v>
      </c>
      <c r="B311" s="61" t="s">
        <v>1187</v>
      </c>
      <c r="C311" s="39" t="s">
        <v>1188</v>
      </c>
      <c r="D311" s="20" t="s">
        <v>502</v>
      </c>
      <c r="E311" s="54" t="s">
        <v>447</v>
      </c>
      <c r="F311" s="54" t="s">
        <v>33</v>
      </c>
      <c r="G311" s="54" t="s">
        <v>23</v>
      </c>
      <c r="H311" s="39" t="s">
        <v>886</v>
      </c>
      <c r="I311" s="39" t="s">
        <v>1111</v>
      </c>
      <c r="J311" s="44">
        <v>35</v>
      </c>
      <c r="K311" s="44"/>
      <c r="L311" s="63">
        <v>35</v>
      </c>
      <c r="M311" s="64" t="s">
        <v>742</v>
      </c>
      <c r="N311" s="2"/>
    </row>
    <row r="312" spans="1:14" ht="14.4">
      <c r="A312" s="65">
        <v>45733</v>
      </c>
      <c r="B312" s="61" t="s">
        <v>1189</v>
      </c>
      <c r="C312" s="39" t="s">
        <v>1190</v>
      </c>
      <c r="D312" s="20" t="s">
        <v>502</v>
      </c>
      <c r="E312" s="54" t="s">
        <v>447</v>
      </c>
      <c r="F312" s="54" t="s">
        <v>33</v>
      </c>
      <c r="G312" s="54" t="s">
        <v>23</v>
      </c>
      <c r="H312" s="39" t="s">
        <v>886</v>
      </c>
      <c r="I312" s="39" t="s">
        <v>1085</v>
      </c>
      <c r="J312" s="44">
        <v>30</v>
      </c>
      <c r="K312" s="44"/>
      <c r="L312" s="63">
        <v>30</v>
      </c>
      <c r="M312" s="64" t="s">
        <v>742</v>
      </c>
      <c r="N312" s="2"/>
    </row>
    <row r="313" spans="1:14" ht="14.4">
      <c r="A313" s="65">
        <v>45733</v>
      </c>
      <c r="B313" s="61" t="s">
        <v>1191</v>
      </c>
      <c r="C313" s="39" t="s">
        <v>1192</v>
      </c>
      <c r="D313" s="20" t="s">
        <v>280</v>
      </c>
      <c r="E313" s="54" t="s">
        <v>519</v>
      </c>
      <c r="F313" s="54" t="s">
        <v>283</v>
      </c>
      <c r="G313" s="54" t="s">
        <v>23</v>
      </c>
      <c r="H313" s="39" t="s">
        <v>1193</v>
      </c>
      <c r="I313" s="39" t="s">
        <v>1194</v>
      </c>
      <c r="J313" s="44">
        <v>259</v>
      </c>
      <c r="K313" s="44"/>
      <c r="L313" s="63">
        <v>259</v>
      </c>
      <c r="M313" s="64" t="s">
        <v>1122</v>
      </c>
      <c r="N313" s="2"/>
    </row>
    <row r="314" spans="1:14" ht="14.4">
      <c r="A314" s="65">
        <v>45733</v>
      </c>
      <c r="B314" s="61" t="s">
        <v>1195</v>
      </c>
      <c r="C314" s="39" t="s">
        <v>1196</v>
      </c>
      <c r="D314" s="20" t="s">
        <v>446</v>
      </c>
      <c r="E314" s="54" t="s">
        <v>447</v>
      </c>
      <c r="F314" s="54" t="s">
        <v>22</v>
      </c>
      <c r="G314" s="54" t="s">
        <v>23</v>
      </c>
      <c r="H314" s="39" t="s">
        <v>1019</v>
      </c>
      <c r="I314" s="39" t="s">
        <v>1197</v>
      </c>
      <c r="J314" s="44">
        <v>135</v>
      </c>
      <c r="K314" s="44"/>
      <c r="L314" s="63">
        <v>265</v>
      </c>
      <c r="M314" s="64" t="s">
        <v>742</v>
      </c>
      <c r="N314" s="2"/>
    </row>
    <row r="315" spans="1:14" ht="14.4">
      <c r="A315" s="65">
        <v>45733</v>
      </c>
      <c r="B315" s="61" t="s">
        <v>1198</v>
      </c>
      <c r="C315" s="39" t="s">
        <v>1199</v>
      </c>
      <c r="D315" s="20" t="s">
        <v>27</v>
      </c>
      <c r="E315" s="54" t="s">
        <v>447</v>
      </c>
      <c r="F315" s="54" t="s">
        <v>27</v>
      </c>
      <c r="G315" s="54" t="s">
        <v>27</v>
      </c>
      <c r="H315" s="39" t="s">
        <v>783</v>
      </c>
      <c r="I315" s="39"/>
      <c r="J315" s="44">
        <v>190</v>
      </c>
      <c r="K315" s="44"/>
      <c r="L315" s="63">
        <v>190</v>
      </c>
      <c r="M315" s="141" t="s">
        <v>840</v>
      </c>
      <c r="N315" s="2"/>
    </row>
    <row r="316" spans="1:14" ht="14.4">
      <c r="A316" s="65">
        <v>45733</v>
      </c>
      <c r="B316" s="61" t="s">
        <v>1168</v>
      </c>
      <c r="C316" s="39" t="s">
        <v>1169</v>
      </c>
      <c r="D316" s="20" t="s">
        <v>1033</v>
      </c>
      <c r="E316" s="54" t="s">
        <v>519</v>
      </c>
      <c r="F316" s="54" t="s">
        <v>40</v>
      </c>
      <c r="G316" s="54" t="s">
        <v>40</v>
      </c>
      <c r="H316" s="39" t="s">
        <v>1065</v>
      </c>
      <c r="I316" s="39"/>
      <c r="J316" s="44">
        <v>729</v>
      </c>
      <c r="K316" s="44"/>
      <c r="L316" s="63">
        <v>729</v>
      </c>
      <c r="M316" s="141" t="s">
        <v>840</v>
      </c>
      <c r="N316" s="2"/>
    </row>
    <row r="317" spans="1:14" ht="14.4">
      <c r="A317" s="65">
        <v>45733</v>
      </c>
      <c r="B317" s="61" t="s">
        <v>1200</v>
      </c>
      <c r="C317" s="39" t="s">
        <v>1169</v>
      </c>
      <c r="D317" s="20" t="s">
        <v>1033</v>
      </c>
      <c r="E317" s="54" t="s">
        <v>519</v>
      </c>
      <c r="F317" s="54" t="s">
        <v>33</v>
      </c>
      <c r="G317" s="54" t="s">
        <v>23</v>
      </c>
      <c r="H317" s="39" t="s">
        <v>1201</v>
      </c>
      <c r="I317" s="39"/>
      <c r="J317" s="44">
        <v>140</v>
      </c>
      <c r="K317" s="44"/>
      <c r="L317" s="63">
        <v>140</v>
      </c>
      <c r="M317" s="141" t="s">
        <v>840</v>
      </c>
      <c r="N317" s="2"/>
    </row>
    <row r="318" spans="1:14" ht="14.4">
      <c r="A318" s="65">
        <v>45733</v>
      </c>
      <c r="B318" s="61" t="s">
        <v>1202</v>
      </c>
      <c r="C318" s="39" t="s">
        <v>1203</v>
      </c>
      <c r="D318" s="20" t="s">
        <v>502</v>
      </c>
      <c r="E318" s="54" t="s">
        <v>447</v>
      </c>
      <c r="F318" s="54" t="s">
        <v>33</v>
      </c>
      <c r="G318" s="54" t="s">
        <v>23</v>
      </c>
      <c r="H318" s="39" t="s">
        <v>1204</v>
      </c>
      <c r="I318" s="39" t="s">
        <v>1091</v>
      </c>
      <c r="J318" s="44">
        <v>800</v>
      </c>
      <c r="K318" s="44"/>
      <c r="L318" s="63">
        <v>800</v>
      </c>
      <c r="M318" s="141" t="s">
        <v>840</v>
      </c>
      <c r="N318" s="2"/>
    </row>
    <row r="319" spans="1:14" ht="14.4">
      <c r="A319" s="65">
        <v>45733</v>
      </c>
      <c r="B319" s="61" t="s">
        <v>1205</v>
      </c>
      <c r="C319" s="39" t="s">
        <v>1206</v>
      </c>
      <c r="D319" s="20" t="s">
        <v>502</v>
      </c>
      <c r="E319" s="54" t="s">
        <v>447</v>
      </c>
      <c r="F319" s="54" t="s">
        <v>33</v>
      </c>
      <c r="G319" s="54" t="s">
        <v>23</v>
      </c>
      <c r="H319" s="39" t="s">
        <v>886</v>
      </c>
      <c r="I319" s="39" t="s">
        <v>1091</v>
      </c>
      <c r="J319" s="44">
        <v>65</v>
      </c>
      <c r="K319" s="44"/>
      <c r="L319" s="63">
        <v>65</v>
      </c>
      <c r="M319" s="64" t="s">
        <v>742</v>
      </c>
      <c r="N319" s="2"/>
    </row>
    <row r="320" spans="1:14" ht="14.4">
      <c r="A320" s="65">
        <v>45733</v>
      </c>
      <c r="B320" s="61" t="s">
        <v>1207</v>
      </c>
      <c r="C320" s="39" t="s">
        <v>1208</v>
      </c>
      <c r="D320" s="20" t="s">
        <v>1035</v>
      </c>
      <c r="E320" s="54" t="s">
        <v>519</v>
      </c>
      <c r="F320" s="54" t="s">
        <v>40</v>
      </c>
      <c r="G320" s="54" t="s">
        <v>40</v>
      </c>
      <c r="H320" s="39" t="s">
        <v>1201</v>
      </c>
      <c r="I320" s="39"/>
      <c r="J320" s="44">
        <v>90</v>
      </c>
      <c r="K320" s="44"/>
      <c r="L320" s="63">
        <v>90</v>
      </c>
      <c r="M320" s="141" t="s">
        <v>840</v>
      </c>
      <c r="N320" s="2"/>
    </row>
    <row r="321" spans="1:14" ht="14.4">
      <c r="A321" s="65">
        <v>45734</v>
      </c>
      <c r="B321" s="61" t="s">
        <v>1187</v>
      </c>
      <c r="C321" s="39" t="s">
        <v>1188</v>
      </c>
      <c r="D321" s="20" t="s">
        <v>502</v>
      </c>
      <c r="E321" s="54" t="s">
        <v>519</v>
      </c>
      <c r="F321" s="54" t="s">
        <v>33</v>
      </c>
      <c r="G321" s="54" t="s">
        <v>23</v>
      </c>
      <c r="H321" s="39" t="s">
        <v>537</v>
      </c>
      <c r="I321" s="39" t="s">
        <v>1111</v>
      </c>
      <c r="J321" s="44">
        <v>750</v>
      </c>
      <c r="K321" s="44"/>
      <c r="L321" s="63">
        <v>1500</v>
      </c>
      <c r="M321" s="64" t="s">
        <v>742</v>
      </c>
      <c r="N321" s="2"/>
    </row>
    <row r="322" spans="1:14" ht="14.4">
      <c r="A322" s="65">
        <v>45734</v>
      </c>
      <c r="B322" s="61" t="s">
        <v>1209</v>
      </c>
      <c r="C322" s="39" t="s">
        <v>1210</v>
      </c>
      <c r="D322" s="20" t="s">
        <v>985</v>
      </c>
      <c r="E322" s="54" t="s">
        <v>519</v>
      </c>
      <c r="F322" s="54" t="s">
        <v>22</v>
      </c>
      <c r="G322" s="54" t="s">
        <v>23</v>
      </c>
      <c r="H322" s="39" t="s">
        <v>1211</v>
      </c>
      <c r="I322" s="39" t="s">
        <v>1173</v>
      </c>
      <c r="J322" s="44">
        <v>320</v>
      </c>
      <c r="K322" s="44"/>
      <c r="L322" s="63">
        <v>640</v>
      </c>
      <c r="M322" s="64" t="s">
        <v>742</v>
      </c>
      <c r="N322" s="2"/>
    </row>
    <row r="323" spans="1:14" ht="14.4">
      <c r="A323" s="65">
        <v>45734</v>
      </c>
      <c r="B323" s="61" t="s">
        <v>1212</v>
      </c>
      <c r="C323" s="39" t="s">
        <v>1213</v>
      </c>
      <c r="D323" s="20" t="s">
        <v>280</v>
      </c>
      <c r="E323" s="54" t="s">
        <v>447</v>
      </c>
      <c r="F323" s="54" t="s">
        <v>22</v>
      </c>
      <c r="G323" s="54" t="s">
        <v>23</v>
      </c>
      <c r="H323" s="39" t="s">
        <v>1211</v>
      </c>
      <c r="I323" s="39" t="s">
        <v>1197</v>
      </c>
      <c r="J323" s="44">
        <v>275</v>
      </c>
      <c r="K323" s="44"/>
      <c r="L323" s="63">
        <v>545</v>
      </c>
      <c r="M323" s="64" t="s">
        <v>742</v>
      </c>
      <c r="N323" s="2"/>
    </row>
    <row r="324" spans="1:14" ht="14.4">
      <c r="A324" s="65">
        <v>45734</v>
      </c>
      <c r="B324" s="61" t="s">
        <v>1149</v>
      </c>
      <c r="C324" s="39" t="s">
        <v>1150</v>
      </c>
      <c r="D324" s="20" t="s">
        <v>1033</v>
      </c>
      <c r="E324" s="54" t="s">
        <v>447</v>
      </c>
      <c r="F324" s="54" t="s">
        <v>40</v>
      </c>
      <c r="G324" s="54" t="s">
        <v>40</v>
      </c>
      <c r="H324" s="39" t="s">
        <v>1151</v>
      </c>
      <c r="I324" s="39"/>
      <c r="J324" s="44">
        <v>1300</v>
      </c>
      <c r="K324" s="44"/>
      <c r="L324" s="63">
        <v>1300</v>
      </c>
      <c r="M324" s="141" t="s">
        <v>840</v>
      </c>
      <c r="N324" s="2"/>
    </row>
    <row r="325" spans="1:14" ht="14.4">
      <c r="A325" s="65">
        <v>45734</v>
      </c>
      <c r="B325" s="61" t="s">
        <v>1214</v>
      </c>
      <c r="C325" s="39" t="s">
        <v>1215</v>
      </c>
      <c r="D325" s="20" t="s">
        <v>446</v>
      </c>
      <c r="E325" s="54" t="s">
        <v>519</v>
      </c>
      <c r="F325" s="54" t="s">
        <v>33</v>
      </c>
      <c r="G325" s="54" t="s">
        <v>23</v>
      </c>
      <c r="H325" s="39" t="s">
        <v>1216</v>
      </c>
      <c r="I325" s="39" t="s">
        <v>1111</v>
      </c>
      <c r="J325" s="44">
        <v>289.5</v>
      </c>
      <c r="K325" s="44">
        <v>289.5</v>
      </c>
      <c r="L325" s="63">
        <v>579</v>
      </c>
      <c r="M325" s="64" t="s">
        <v>1122</v>
      </c>
      <c r="N325" s="2"/>
    </row>
    <row r="326" spans="1:14" ht="14.4">
      <c r="A326" s="65">
        <v>45734</v>
      </c>
      <c r="B326" s="61" t="s">
        <v>1217</v>
      </c>
      <c r="C326" s="39" t="s">
        <v>1218</v>
      </c>
      <c r="D326" s="20" t="s">
        <v>446</v>
      </c>
      <c r="E326" s="54" t="s">
        <v>519</v>
      </c>
      <c r="F326" s="54" t="s">
        <v>33</v>
      </c>
      <c r="G326" s="54" t="s">
        <v>23</v>
      </c>
      <c r="H326" s="39" t="s">
        <v>1219</v>
      </c>
      <c r="I326" s="39" t="s">
        <v>1220</v>
      </c>
      <c r="J326" s="44">
        <v>30</v>
      </c>
      <c r="K326" s="44"/>
      <c r="L326" s="63">
        <v>30</v>
      </c>
      <c r="M326" s="64" t="s">
        <v>742</v>
      </c>
      <c r="N326" s="2"/>
    </row>
    <row r="327" spans="1:14" ht="14.4">
      <c r="A327" s="65">
        <v>45734</v>
      </c>
      <c r="B327" s="61" t="s">
        <v>1221</v>
      </c>
      <c r="C327" s="39" t="s">
        <v>1098</v>
      </c>
      <c r="D327" s="20" t="s">
        <v>864</v>
      </c>
      <c r="E327" s="54" t="s">
        <v>447</v>
      </c>
      <c r="F327" s="54" t="s">
        <v>25</v>
      </c>
      <c r="G327" s="10" t="s">
        <v>25</v>
      </c>
      <c r="H327" s="39" t="s">
        <v>1222</v>
      </c>
      <c r="I327" s="39" t="s">
        <v>14</v>
      </c>
      <c r="J327" s="44">
        <v>590</v>
      </c>
      <c r="K327" s="44"/>
      <c r="L327" s="63">
        <v>590</v>
      </c>
      <c r="M327" s="64" t="s">
        <v>480</v>
      </c>
      <c r="N327" s="2"/>
    </row>
    <row r="328" spans="1:14" ht="14.4">
      <c r="A328" s="65">
        <v>45734</v>
      </c>
      <c r="B328" s="61" t="s">
        <v>1223</v>
      </c>
      <c r="C328" s="39" t="s">
        <v>1224</v>
      </c>
      <c r="D328" s="20" t="s">
        <v>1035</v>
      </c>
      <c r="E328" s="54" t="s">
        <v>519</v>
      </c>
      <c r="F328" s="54" t="s">
        <v>40</v>
      </c>
      <c r="G328" s="54" t="s">
        <v>40</v>
      </c>
      <c r="H328" s="39" t="s">
        <v>1065</v>
      </c>
      <c r="I328" s="39"/>
      <c r="J328" s="44">
        <v>400</v>
      </c>
      <c r="K328" s="44"/>
      <c r="L328" s="63">
        <v>400</v>
      </c>
      <c r="M328" s="141" t="s">
        <v>840</v>
      </c>
      <c r="N328" s="2"/>
    </row>
    <row r="329" spans="1:14" ht="14.4">
      <c r="A329" s="65">
        <v>45734</v>
      </c>
      <c r="B329" s="61" t="s">
        <v>1202</v>
      </c>
      <c r="C329" s="39" t="s">
        <v>1203</v>
      </c>
      <c r="D329" s="20" t="s">
        <v>502</v>
      </c>
      <c r="E329" s="54" t="s">
        <v>519</v>
      </c>
      <c r="F329" s="54" t="s">
        <v>33</v>
      </c>
      <c r="G329" s="54" t="s">
        <v>23</v>
      </c>
      <c r="H329" s="39" t="s">
        <v>1225</v>
      </c>
      <c r="I329" s="39" t="s">
        <v>1091</v>
      </c>
      <c r="J329" s="44">
        <v>800</v>
      </c>
      <c r="K329" s="44"/>
      <c r="L329" s="63">
        <v>800</v>
      </c>
      <c r="M329" s="64" t="s">
        <v>742</v>
      </c>
      <c r="N329" s="2"/>
    </row>
    <row r="330" spans="1:14" ht="14.4">
      <c r="A330" s="65">
        <v>45735</v>
      </c>
      <c r="B330" s="61" t="s">
        <v>1226</v>
      </c>
      <c r="C330" s="39" t="s">
        <v>1227</v>
      </c>
      <c r="D330" s="20" t="s">
        <v>864</v>
      </c>
      <c r="E330" s="54" t="s">
        <v>519</v>
      </c>
      <c r="F330" s="54" t="s">
        <v>25</v>
      </c>
      <c r="G330" s="10" t="s">
        <v>25</v>
      </c>
      <c r="H330" s="39" t="s">
        <v>1228</v>
      </c>
      <c r="I330" s="39" t="s">
        <v>14</v>
      </c>
      <c r="J330" s="44">
        <v>7400</v>
      </c>
      <c r="K330" s="44"/>
      <c r="L330" s="63">
        <v>7400</v>
      </c>
      <c r="M330" s="64" t="s">
        <v>742</v>
      </c>
      <c r="N330" s="2"/>
    </row>
    <row r="331" spans="1:14" ht="14.4">
      <c r="A331" s="65">
        <v>45735</v>
      </c>
      <c r="B331" s="61" t="s">
        <v>1229</v>
      </c>
      <c r="C331" s="39" t="s">
        <v>1230</v>
      </c>
      <c r="D331" s="20" t="s">
        <v>1035</v>
      </c>
      <c r="E331" s="54" t="s">
        <v>519</v>
      </c>
      <c r="F331" s="54" t="s">
        <v>40</v>
      </c>
      <c r="G331" s="54" t="s">
        <v>40</v>
      </c>
      <c r="H331" s="39" t="s">
        <v>1051</v>
      </c>
      <c r="I331" s="39"/>
      <c r="J331" s="44">
        <v>120</v>
      </c>
      <c r="K331" s="44"/>
      <c r="L331" s="63">
        <v>120</v>
      </c>
      <c r="M331" s="141" t="s">
        <v>840</v>
      </c>
      <c r="N331" s="2"/>
    </row>
    <row r="332" spans="1:14" ht="14.4">
      <c r="A332" s="65">
        <v>45735</v>
      </c>
      <c r="B332" s="61" t="s">
        <v>1231</v>
      </c>
      <c r="C332" s="39" t="s">
        <v>1232</v>
      </c>
      <c r="D332" s="20" t="s">
        <v>992</v>
      </c>
      <c r="E332" s="54" t="s">
        <v>519</v>
      </c>
      <c r="F332" s="54" t="s">
        <v>56</v>
      </c>
      <c r="G332" s="54" t="s">
        <v>56</v>
      </c>
      <c r="H332" s="39" t="s">
        <v>1233</v>
      </c>
      <c r="I332" s="39"/>
      <c r="J332" s="44">
        <v>170</v>
      </c>
      <c r="K332" s="44"/>
      <c r="L332" s="63">
        <v>170</v>
      </c>
      <c r="M332" s="141" t="s">
        <v>840</v>
      </c>
      <c r="N332" s="2"/>
    </row>
    <row r="333" spans="1:14" ht="14.4">
      <c r="A333" s="65">
        <v>45735</v>
      </c>
      <c r="B333" s="61" t="s">
        <v>1234</v>
      </c>
      <c r="C333" s="39" t="s">
        <v>1235</v>
      </c>
      <c r="D333" s="20" t="s">
        <v>1035</v>
      </c>
      <c r="E333" s="54" t="s">
        <v>519</v>
      </c>
      <c r="F333" s="54" t="s">
        <v>40</v>
      </c>
      <c r="G333" s="54" t="s">
        <v>40</v>
      </c>
      <c r="H333" s="39" t="s">
        <v>1201</v>
      </c>
      <c r="I333" s="39"/>
      <c r="J333" s="44">
        <v>50</v>
      </c>
      <c r="K333" s="44"/>
      <c r="L333" s="63">
        <v>200</v>
      </c>
      <c r="M333" s="141" t="s">
        <v>840</v>
      </c>
      <c r="N333" s="2"/>
    </row>
    <row r="334" spans="1:14" ht="14.4">
      <c r="A334" s="65">
        <v>45735</v>
      </c>
      <c r="B334" s="61" t="s">
        <v>1236</v>
      </c>
      <c r="C334" s="39" t="s">
        <v>1237</v>
      </c>
      <c r="D334" s="20" t="s">
        <v>992</v>
      </c>
      <c r="E334" s="54" t="s">
        <v>447</v>
      </c>
      <c r="F334" s="54" t="s">
        <v>56</v>
      </c>
      <c r="G334" s="54" t="s">
        <v>56</v>
      </c>
      <c r="H334" s="39" t="s">
        <v>1238</v>
      </c>
      <c r="I334" s="39"/>
      <c r="J334" s="44">
        <v>590</v>
      </c>
      <c r="K334" s="44"/>
      <c r="L334" s="63">
        <v>690</v>
      </c>
      <c r="M334" s="64" t="s">
        <v>480</v>
      </c>
      <c r="N334" s="2"/>
    </row>
    <row r="335" spans="1:14" ht="14.4">
      <c r="A335" s="142">
        <v>45735</v>
      </c>
      <c r="B335" s="143" t="s">
        <v>1198</v>
      </c>
      <c r="C335" s="144" t="s">
        <v>1239</v>
      </c>
      <c r="D335" s="140" t="s">
        <v>27</v>
      </c>
      <c r="E335" s="145" t="s">
        <v>447</v>
      </c>
      <c r="F335" s="54" t="s">
        <v>27</v>
      </c>
      <c r="G335" s="54" t="s">
        <v>27</v>
      </c>
      <c r="H335" s="144" t="s">
        <v>1240</v>
      </c>
      <c r="I335" s="146"/>
      <c r="J335" s="147">
        <v>300</v>
      </c>
      <c r="K335" s="148"/>
      <c r="L335" s="147">
        <v>300</v>
      </c>
      <c r="M335" s="41" t="s">
        <v>480</v>
      </c>
      <c r="N335" s="2"/>
    </row>
    <row r="336" spans="1:14" ht="14.4">
      <c r="A336" s="65">
        <v>45735</v>
      </c>
      <c r="B336" s="61" t="s">
        <v>1198</v>
      </c>
      <c r="C336" s="39" t="s">
        <v>1239</v>
      </c>
      <c r="D336" s="20" t="s">
        <v>27</v>
      </c>
      <c r="E336" s="54" t="s">
        <v>447</v>
      </c>
      <c r="F336" s="54" t="s">
        <v>27</v>
      </c>
      <c r="G336" s="54" t="s">
        <v>27</v>
      </c>
      <c r="H336" s="39" t="s">
        <v>1240</v>
      </c>
      <c r="I336" s="39"/>
      <c r="J336" s="44">
        <v>300</v>
      </c>
      <c r="K336" s="44"/>
      <c r="L336" s="63">
        <v>300</v>
      </c>
      <c r="M336" s="141" t="s">
        <v>840</v>
      </c>
      <c r="N336" s="2"/>
    </row>
    <row r="337" spans="1:14" ht="14.4">
      <c r="A337" s="65">
        <v>45735</v>
      </c>
      <c r="B337" s="61" t="s">
        <v>1231</v>
      </c>
      <c r="C337" s="39" t="s">
        <v>1232</v>
      </c>
      <c r="D337" s="20" t="s">
        <v>992</v>
      </c>
      <c r="E337" s="54" t="s">
        <v>519</v>
      </c>
      <c r="F337" s="54" t="s">
        <v>56</v>
      </c>
      <c r="G337" s="54" t="s">
        <v>56</v>
      </c>
      <c r="H337" s="39" t="s">
        <v>1233</v>
      </c>
      <c r="I337" s="39"/>
      <c r="J337" s="44">
        <v>195</v>
      </c>
      <c r="K337" s="44"/>
      <c r="L337" s="63">
        <v>195</v>
      </c>
      <c r="M337" s="141" t="s">
        <v>840</v>
      </c>
      <c r="N337" s="2"/>
    </row>
    <row r="338" spans="1:14" ht="14.4">
      <c r="A338" s="65">
        <v>45735</v>
      </c>
      <c r="B338" s="61" t="s">
        <v>1241</v>
      </c>
      <c r="C338" s="39" t="s">
        <v>1242</v>
      </c>
      <c r="D338" s="20" t="s">
        <v>974</v>
      </c>
      <c r="E338" s="54" t="s">
        <v>519</v>
      </c>
      <c r="F338" s="54" t="s">
        <v>40</v>
      </c>
      <c r="G338" s="54" t="s">
        <v>40</v>
      </c>
      <c r="H338" s="39" t="s">
        <v>1243</v>
      </c>
      <c r="I338" s="39"/>
      <c r="J338" s="44">
        <v>198</v>
      </c>
      <c r="K338" s="44"/>
      <c r="L338" s="63">
        <v>198</v>
      </c>
      <c r="M338" s="64" t="s">
        <v>1122</v>
      </c>
      <c r="N338" s="2"/>
    </row>
    <row r="339" spans="1:14" ht="14.4">
      <c r="A339" s="65">
        <v>45736</v>
      </c>
      <c r="B339" s="61" t="s">
        <v>605</v>
      </c>
      <c r="C339" s="39" t="s">
        <v>1180</v>
      </c>
      <c r="D339" s="20" t="s">
        <v>864</v>
      </c>
      <c r="E339" s="54" t="s">
        <v>447</v>
      </c>
      <c r="F339" s="54" t="s">
        <v>25</v>
      </c>
      <c r="G339" s="10" t="s">
        <v>25</v>
      </c>
      <c r="H339" s="39" t="s">
        <v>1186</v>
      </c>
      <c r="I339" s="39"/>
      <c r="J339" s="44">
        <v>1180</v>
      </c>
      <c r="K339" s="44"/>
      <c r="L339" s="63">
        <v>1180</v>
      </c>
      <c r="M339" s="64" t="s">
        <v>480</v>
      </c>
      <c r="N339" s="2"/>
    </row>
    <row r="340" spans="1:14" ht="14.4">
      <c r="A340" s="65">
        <v>45736</v>
      </c>
      <c r="B340" s="61" t="s">
        <v>1244</v>
      </c>
      <c r="C340" s="39" t="s">
        <v>1245</v>
      </c>
      <c r="D340" s="20" t="s">
        <v>446</v>
      </c>
      <c r="E340" s="54" t="s">
        <v>447</v>
      </c>
      <c r="F340" s="54" t="s">
        <v>33</v>
      </c>
      <c r="G340" s="54" t="s">
        <v>23</v>
      </c>
      <c r="H340" s="39" t="s">
        <v>1027</v>
      </c>
      <c r="I340" s="39" t="s">
        <v>1111</v>
      </c>
      <c r="J340" s="44">
        <f>L340/2</f>
        <v>337.5</v>
      </c>
      <c r="K340" s="44"/>
      <c r="L340" s="63">
        <v>675</v>
      </c>
      <c r="M340" s="64" t="s">
        <v>742</v>
      </c>
      <c r="N340" s="2"/>
    </row>
    <row r="341" spans="1:14" ht="14.4">
      <c r="A341" s="65">
        <v>45736</v>
      </c>
      <c r="B341" s="61" t="s">
        <v>1246</v>
      </c>
      <c r="C341" s="39" t="s">
        <v>1247</v>
      </c>
      <c r="D341" s="20" t="s">
        <v>446</v>
      </c>
      <c r="E341" s="54" t="s">
        <v>447</v>
      </c>
      <c r="F341" s="54" t="s">
        <v>33</v>
      </c>
      <c r="G341" s="54" t="s">
        <v>23</v>
      </c>
      <c r="H341" s="39" t="s">
        <v>1248</v>
      </c>
      <c r="I341" s="39" t="s">
        <v>1159</v>
      </c>
      <c r="J341" s="44">
        <v>65</v>
      </c>
      <c r="K341" s="44"/>
      <c r="L341" s="63">
        <v>65</v>
      </c>
      <c r="M341" s="64" t="s">
        <v>742</v>
      </c>
      <c r="N341" s="2"/>
    </row>
    <row r="342" spans="1:14" ht="14.4">
      <c r="A342" s="65">
        <v>45736</v>
      </c>
      <c r="B342" s="61" t="s">
        <v>1234</v>
      </c>
      <c r="C342" s="39" t="s">
        <v>1235</v>
      </c>
      <c r="D342" s="20" t="s">
        <v>1035</v>
      </c>
      <c r="E342" s="54" t="s">
        <v>447</v>
      </c>
      <c r="F342" s="54" t="s">
        <v>40</v>
      </c>
      <c r="G342" s="54" t="s">
        <v>40</v>
      </c>
      <c r="H342" s="39" t="s">
        <v>1249</v>
      </c>
      <c r="I342" s="39"/>
      <c r="J342" s="44">
        <v>499</v>
      </c>
      <c r="K342" s="44"/>
      <c r="L342" s="63">
        <v>499</v>
      </c>
      <c r="M342" s="141" t="s">
        <v>840</v>
      </c>
      <c r="N342" s="2"/>
    </row>
    <row r="343" spans="1:14" ht="14.4">
      <c r="A343" s="65">
        <v>45736</v>
      </c>
      <c r="B343" s="61" t="s">
        <v>1250</v>
      </c>
      <c r="C343" s="39" t="s">
        <v>1251</v>
      </c>
      <c r="D343" s="20" t="s">
        <v>502</v>
      </c>
      <c r="E343" s="54" t="s">
        <v>447</v>
      </c>
      <c r="F343" s="54" t="s">
        <v>33</v>
      </c>
      <c r="G343" s="54" t="s">
        <v>23</v>
      </c>
      <c r="H343" s="39" t="s">
        <v>1248</v>
      </c>
      <c r="I343" s="39" t="s">
        <v>1220</v>
      </c>
      <c r="J343" s="44">
        <v>80</v>
      </c>
      <c r="K343" s="44"/>
      <c r="L343" s="63">
        <v>80</v>
      </c>
      <c r="M343" s="64" t="s">
        <v>1122</v>
      </c>
      <c r="N343" s="2"/>
    </row>
    <row r="344" spans="1:14" ht="14.4">
      <c r="A344" s="65">
        <v>45737</v>
      </c>
      <c r="B344" s="61" t="s">
        <v>1252</v>
      </c>
      <c r="C344" s="39" t="s">
        <v>1253</v>
      </c>
      <c r="D344" s="20" t="s">
        <v>1254</v>
      </c>
      <c r="E344" s="54" t="s">
        <v>447</v>
      </c>
      <c r="F344" s="54" t="s">
        <v>205</v>
      </c>
      <c r="G344" s="54" t="s">
        <v>23</v>
      </c>
      <c r="H344" s="39" t="s">
        <v>1255</v>
      </c>
      <c r="I344" s="39" t="s">
        <v>1091</v>
      </c>
      <c r="J344" s="44">
        <v>197.5</v>
      </c>
      <c r="K344" s="44"/>
      <c r="L344" s="63">
        <f>J344*2</f>
        <v>395</v>
      </c>
      <c r="M344" s="64" t="s">
        <v>742</v>
      </c>
      <c r="N344" s="2"/>
    </row>
    <row r="345" spans="1:14" ht="14.4">
      <c r="A345" s="65">
        <v>45737</v>
      </c>
      <c r="B345" s="61" t="s">
        <v>1256</v>
      </c>
      <c r="C345" s="39" t="s">
        <v>1257</v>
      </c>
      <c r="D345" s="20" t="s">
        <v>502</v>
      </c>
      <c r="E345" s="54" t="s">
        <v>519</v>
      </c>
      <c r="F345" s="54" t="s">
        <v>33</v>
      </c>
      <c r="G345" s="54" t="s">
        <v>23</v>
      </c>
      <c r="H345" s="39" t="s">
        <v>1248</v>
      </c>
      <c r="I345" s="39" t="s">
        <v>1258</v>
      </c>
      <c r="J345" s="44">
        <v>80</v>
      </c>
      <c r="K345" s="44"/>
      <c r="L345" s="63">
        <v>80</v>
      </c>
      <c r="M345" s="64" t="s">
        <v>1122</v>
      </c>
      <c r="N345" s="2"/>
    </row>
    <row r="346" spans="1:14" ht="14.4">
      <c r="A346" s="65">
        <v>45737</v>
      </c>
      <c r="B346" s="61" t="s">
        <v>1259</v>
      </c>
      <c r="C346" s="39" t="s">
        <v>1260</v>
      </c>
      <c r="D346" s="20" t="s">
        <v>280</v>
      </c>
      <c r="E346" s="54" t="s">
        <v>519</v>
      </c>
      <c r="F346" s="54" t="s">
        <v>33</v>
      </c>
      <c r="G346" s="54" t="s">
        <v>23</v>
      </c>
      <c r="H346" s="39" t="s">
        <v>1248</v>
      </c>
      <c r="I346" s="39" t="s">
        <v>1220</v>
      </c>
      <c r="J346" s="44">
        <v>20</v>
      </c>
      <c r="K346" s="44"/>
      <c r="L346" s="63">
        <v>20</v>
      </c>
      <c r="M346" s="64" t="s">
        <v>1122</v>
      </c>
      <c r="N346" s="2"/>
    </row>
    <row r="347" spans="1:14" ht="14.4">
      <c r="A347" s="65">
        <v>45737</v>
      </c>
      <c r="B347" s="61" t="s">
        <v>1261</v>
      </c>
      <c r="C347" s="39" t="s">
        <v>1262</v>
      </c>
      <c r="D347" s="20" t="s">
        <v>502</v>
      </c>
      <c r="E347" s="54" t="s">
        <v>519</v>
      </c>
      <c r="F347" s="54" t="s">
        <v>33</v>
      </c>
      <c r="G347" s="54" t="s">
        <v>23</v>
      </c>
      <c r="H347" s="39" t="s">
        <v>825</v>
      </c>
      <c r="I347" s="39" t="s">
        <v>1220</v>
      </c>
      <c r="J347" s="44">
        <v>30</v>
      </c>
      <c r="K347" s="44"/>
      <c r="L347" s="63">
        <v>30</v>
      </c>
      <c r="M347" s="64" t="s">
        <v>742</v>
      </c>
      <c r="N347" s="2"/>
    </row>
    <row r="348" spans="1:14" ht="14.4">
      <c r="A348" s="65">
        <v>45737</v>
      </c>
      <c r="B348" s="61" t="s">
        <v>1263</v>
      </c>
      <c r="C348" s="39" t="s">
        <v>1264</v>
      </c>
      <c r="D348" s="20" t="s">
        <v>502</v>
      </c>
      <c r="E348" s="54" t="s">
        <v>447</v>
      </c>
      <c r="F348" s="54" t="s">
        <v>33</v>
      </c>
      <c r="G348" s="54" t="s">
        <v>23</v>
      </c>
      <c r="H348" s="39" t="s">
        <v>869</v>
      </c>
      <c r="I348" s="39" t="s">
        <v>1111</v>
      </c>
      <c r="J348" s="44">
        <v>60</v>
      </c>
      <c r="K348" s="44"/>
      <c r="L348" s="63">
        <v>60</v>
      </c>
      <c r="M348" s="141" t="s">
        <v>840</v>
      </c>
      <c r="N348" s="2"/>
    </row>
    <row r="349" spans="1:14" ht="14.4">
      <c r="A349" s="65">
        <v>45737</v>
      </c>
      <c r="B349" s="61" t="s">
        <v>1265</v>
      </c>
      <c r="C349" s="39" t="s">
        <v>1266</v>
      </c>
      <c r="D349" s="20" t="s">
        <v>1033</v>
      </c>
      <c r="E349" s="54" t="s">
        <v>519</v>
      </c>
      <c r="F349" s="54" t="s">
        <v>33</v>
      </c>
      <c r="G349" s="54" t="s">
        <v>23</v>
      </c>
      <c r="H349" s="39" t="s">
        <v>1167</v>
      </c>
      <c r="I349" s="39"/>
      <c r="J349" s="44">
        <v>1000</v>
      </c>
      <c r="K349" s="44"/>
      <c r="L349" s="63">
        <v>2000</v>
      </c>
      <c r="M349" s="141" t="s">
        <v>840</v>
      </c>
      <c r="N349" s="2"/>
    </row>
    <row r="350" spans="1:14" ht="14.4">
      <c r="A350" s="65">
        <v>45737</v>
      </c>
      <c r="B350" s="61" t="s">
        <v>1267</v>
      </c>
      <c r="C350" s="39" t="s">
        <v>1268</v>
      </c>
      <c r="D350" s="20" t="s">
        <v>502</v>
      </c>
      <c r="E350" s="54" t="s">
        <v>519</v>
      </c>
      <c r="F350" s="54" t="s">
        <v>33</v>
      </c>
      <c r="G350" s="54" t="s">
        <v>23</v>
      </c>
      <c r="H350" s="39" t="s">
        <v>1248</v>
      </c>
      <c r="I350" s="39" t="s">
        <v>1197</v>
      </c>
      <c r="J350" s="44">
        <v>40</v>
      </c>
      <c r="K350" s="44"/>
      <c r="L350" s="63">
        <v>40</v>
      </c>
      <c r="M350" s="64" t="s">
        <v>1122</v>
      </c>
      <c r="N350" s="2"/>
    </row>
    <row r="351" spans="1:14" ht="14.4">
      <c r="A351" s="65">
        <v>45738</v>
      </c>
      <c r="B351" s="61" t="s">
        <v>1269</v>
      </c>
      <c r="C351" s="39" t="s">
        <v>1270</v>
      </c>
      <c r="D351" s="20" t="s">
        <v>280</v>
      </c>
      <c r="E351" s="54" t="s">
        <v>447</v>
      </c>
      <c r="F351" s="54" t="s">
        <v>33</v>
      </c>
      <c r="G351" s="54" t="s">
        <v>23</v>
      </c>
      <c r="H351" s="39" t="s">
        <v>1271</v>
      </c>
      <c r="I351" s="39" t="s">
        <v>1173</v>
      </c>
      <c r="J351" s="44">
        <v>750</v>
      </c>
      <c r="K351" s="44">
        <v>500</v>
      </c>
      <c r="L351" s="63">
        <v>1250</v>
      </c>
      <c r="M351" s="64" t="s">
        <v>742</v>
      </c>
      <c r="N351" s="2"/>
    </row>
    <row r="352" spans="1:14" ht="14.4">
      <c r="A352" s="65">
        <v>45738</v>
      </c>
      <c r="B352" s="61" t="s">
        <v>1272</v>
      </c>
      <c r="C352" s="39" t="s">
        <v>1273</v>
      </c>
      <c r="D352" s="20" t="s">
        <v>446</v>
      </c>
      <c r="E352" s="54" t="s">
        <v>447</v>
      </c>
      <c r="F352" s="54" t="s">
        <v>33</v>
      </c>
      <c r="G352" s="54" t="s">
        <v>23</v>
      </c>
      <c r="H352" s="39" t="s">
        <v>825</v>
      </c>
      <c r="I352" s="39" t="s">
        <v>1173</v>
      </c>
      <c r="J352" s="44">
        <v>70</v>
      </c>
      <c r="K352" s="44"/>
      <c r="L352" s="63">
        <v>70</v>
      </c>
      <c r="M352" s="64" t="s">
        <v>742</v>
      </c>
      <c r="N352" s="2"/>
    </row>
    <row r="353" spans="1:14" ht="14.4">
      <c r="A353" s="65">
        <v>45738</v>
      </c>
      <c r="B353" s="61" t="s">
        <v>1229</v>
      </c>
      <c r="C353" s="39" t="s">
        <v>1274</v>
      </c>
      <c r="D353" s="20" t="s">
        <v>1035</v>
      </c>
      <c r="E353" s="54" t="s">
        <v>519</v>
      </c>
      <c r="F353" s="54" t="s">
        <v>33</v>
      </c>
      <c r="G353" s="54" t="s">
        <v>23</v>
      </c>
      <c r="H353" s="39" t="s">
        <v>1065</v>
      </c>
      <c r="I353" s="39"/>
      <c r="J353" s="44">
        <v>589</v>
      </c>
      <c r="K353" s="44"/>
      <c r="L353" s="63">
        <v>589</v>
      </c>
      <c r="M353" s="141" t="s">
        <v>840</v>
      </c>
      <c r="N353" s="2"/>
    </row>
    <row r="354" spans="1:14" ht="14.4">
      <c r="A354" s="65">
        <v>45738</v>
      </c>
      <c r="B354" s="61" t="s">
        <v>1275</v>
      </c>
      <c r="C354" s="39" t="s">
        <v>1276</v>
      </c>
      <c r="D354" s="20" t="s">
        <v>1254</v>
      </c>
      <c r="E354" s="54" t="s">
        <v>447</v>
      </c>
      <c r="F354" s="54" t="s">
        <v>35</v>
      </c>
      <c r="G354" s="54" t="s">
        <v>23</v>
      </c>
      <c r="H354" s="39" t="s">
        <v>1277</v>
      </c>
      <c r="I354" s="39" t="s">
        <v>1220</v>
      </c>
      <c r="J354" s="44">
        <v>195</v>
      </c>
      <c r="K354" s="44">
        <v>195</v>
      </c>
      <c r="L354" s="63">
        <v>390</v>
      </c>
      <c r="M354" s="64" t="s">
        <v>742</v>
      </c>
      <c r="N354" s="2"/>
    </row>
    <row r="355" spans="1:14" ht="14.4">
      <c r="A355" s="65">
        <v>45740</v>
      </c>
      <c r="B355" s="61" t="s">
        <v>1278</v>
      </c>
      <c r="C355" s="39" t="s">
        <v>1279</v>
      </c>
      <c r="D355" s="20" t="s">
        <v>27</v>
      </c>
      <c r="E355" s="54" t="s">
        <v>447</v>
      </c>
      <c r="F355" s="54" t="s">
        <v>27</v>
      </c>
      <c r="G355" s="54" t="s">
        <v>27</v>
      </c>
      <c r="H355" s="39" t="s">
        <v>783</v>
      </c>
      <c r="I355" s="39" t="s">
        <v>14</v>
      </c>
      <c r="J355" s="44">
        <v>250</v>
      </c>
      <c r="K355" s="44"/>
      <c r="L355" s="63">
        <v>290</v>
      </c>
      <c r="M355" s="64" t="s">
        <v>742</v>
      </c>
      <c r="N355" s="2"/>
    </row>
    <row r="356" spans="1:14" ht="14.4">
      <c r="A356" s="65">
        <v>45740</v>
      </c>
      <c r="B356" s="61" t="s">
        <v>1280</v>
      </c>
      <c r="C356" s="39" t="s">
        <v>1281</v>
      </c>
      <c r="D356" s="20" t="s">
        <v>1033</v>
      </c>
      <c r="E356" s="54" t="s">
        <v>447</v>
      </c>
      <c r="F356" s="54" t="s">
        <v>33</v>
      </c>
      <c r="G356" s="54" t="s">
        <v>23</v>
      </c>
      <c r="H356" s="39" t="s">
        <v>1167</v>
      </c>
      <c r="I356" s="39"/>
      <c r="J356" s="44">
        <v>1407</v>
      </c>
      <c r="K356" s="44">
        <v>630</v>
      </c>
      <c r="L356" s="63">
        <v>2037</v>
      </c>
      <c r="M356" s="141" t="s">
        <v>840</v>
      </c>
      <c r="N356" s="2"/>
    </row>
    <row r="357" spans="1:14" ht="14.4">
      <c r="A357" s="142">
        <v>45740</v>
      </c>
      <c r="B357" s="143" t="s">
        <v>1282</v>
      </c>
      <c r="C357" s="144" t="s">
        <v>1283</v>
      </c>
      <c r="D357" s="140" t="s">
        <v>985</v>
      </c>
      <c r="E357" s="145" t="s">
        <v>447</v>
      </c>
      <c r="F357" s="54" t="s">
        <v>22</v>
      </c>
      <c r="G357" s="54" t="s">
        <v>23</v>
      </c>
      <c r="H357" s="144" t="s">
        <v>1125</v>
      </c>
      <c r="I357" s="144" t="s">
        <v>1085</v>
      </c>
      <c r="J357" s="147">
        <v>150</v>
      </c>
      <c r="K357" s="148"/>
      <c r="L357" s="147">
        <v>299.5</v>
      </c>
      <c r="M357" s="41" t="s">
        <v>480</v>
      </c>
      <c r="N357" s="2"/>
    </row>
    <row r="358" spans="1:14" ht="14.4">
      <c r="A358" s="65">
        <v>45740</v>
      </c>
      <c r="B358" s="61" t="s">
        <v>1282</v>
      </c>
      <c r="C358" s="39" t="s">
        <v>1283</v>
      </c>
      <c r="D358" s="20" t="s">
        <v>985</v>
      </c>
      <c r="E358" s="54" t="s">
        <v>447</v>
      </c>
      <c r="F358" s="54" t="s">
        <v>22</v>
      </c>
      <c r="G358" s="54" t="s">
        <v>23</v>
      </c>
      <c r="H358" s="39" t="s">
        <v>1125</v>
      </c>
      <c r="I358" s="39" t="s">
        <v>1085</v>
      </c>
      <c r="J358" s="44">
        <v>150</v>
      </c>
      <c r="K358" s="44"/>
      <c r="L358" s="63">
        <v>299.5</v>
      </c>
      <c r="M358" s="141" t="s">
        <v>840</v>
      </c>
      <c r="N358" s="2"/>
    </row>
    <row r="359" spans="1:14" ht="14.4">
      <c r="A359" s="65">
        <v>45741</v>
      </c>
      <c r="B359" s="61" t="s">
        <v>605</v>
      </c>
      <c r="C359" s="39" t="s">
        <v>1180</v>
      </c>
      <c r="D359" s="20" t="s">
        <v>864</v>
      </c>
      <c r="E359" s="54" t="s">
        <v>519</v>
      </c>
      <c r="F359" s="54" t="s">
        <v>25</v>
      </c>
      <c r="G359" s="10" t="s">
        <v>25</v>
      </c>
      <c r="H359" s="39" t="s">
        <v>1186</v>
      </c>
      <c r="I359" s="39" t="s">
        <v>14</v>
      </c>
      <c r="J359" s="44">
        <v>1180</v>
      </c>
      <c r="K359" s="44"/>
      <c r="L359" s="63">
        <v>1180</v>
      </c>
      <c r="M359" s="64" t="s">
        <v>480</v>
      </c>
      <c r="N359" s="2"/>
    </row>
    <row r="360" spans="1:14" ht="14.4">
      <c r="A360" s="65">
        <v>45741</v>
      </c>
      <c r="B360" s="61" t="s">
        <v>1284</v>
      </c>
      <c r="C360" s="39" t="s">
        <v>1285</v>
      </c>
      <c r="D360" s="20" t="s">
        <v>446</v>
      </c>
      <c r="E360" s="54" t="s">
        <v>447</v>
      </c>
      <c r="F360" s="54" t="s">
        <v>22</v>
      </c>
      <c r="G360" s="54" t="s">
        <v>23</v>
      </c>
      <c r="H360" s="39" t="s">
        <v>1286</v>
      </c>
      <c r="I360" s="39" t="s">
        <v>1159</v>
      </c>
      <c r="J360" s="44">
        <v>289</v>
      </c>
      <c r="K360" s="44"/>
      <c r="L360" s="63">
        <v>289</v>
      </c>
      <c r="M360" s="64" t="s">
        <v>1122</v>
      </c>
      <c r="N360" s="2"/>
    </row>
    <row r="361" spans="1:14" ht="14.4">
      <c r="A361" s="65">
        <v>45741</v>
      </c>
      <c r="B361" s="61" t="s">
        <v>1063</v>
      </c>
      <c r="C361" s="39" t="s">
        <v>1287</v>
      </c>
      <c r="D361" s="20" t="s">
        <v>974</v>
      </c>
      <c r="E361" s="54" t="s">
        <v>447</v>
      </c>
      <c r="F361" s="54" t="s">
        <v>33</v>
      </c>
      <c r="G361" s="54" t="s">
        <v>23</v>
      </c>
      <c r="H361" s="39" t="s">
        <v>1167</v>
      </c>
      <c r="I361" s="39"/>
      <c r="J361" s="44">
        <v>478.5</v>
      </c>
      <c r="K361" s="44"/>
      <c r="L361" s="63">
        <v>957</v>
      </c>
      <c r="M361" s="64" t="s">
        <v>480</v>
      </c>
      <c r="N361" s="2"/>
    </row>
    <row r="362" spans="1:14" ht="14.4">
      <c r="A362" s="65">
        <v>45741</v>
      </c>
      <c r="B362" s="61" t="s">
        <v>1288</v>
      </c>
      <c r="C362" s="39" t="s">
        <v>1289</v>
      </c>
      <c r="D362" s="20" t="s">
        <v>1254</v>
      </c>
      <c r="E362" s="54" t="s">
        <v>447</v>
      </c>
      <c r="F362" s="54" t="s">
        <v>22</v>
      </c>
      <c r="G362" s="54" t="s">
        <v>23</v>
      </c>
      <c r="H362" s="39" t="s">
        <v>1290</v>
      </c>
      <c r="I362" s="39" t="s">
        <v>1291</v>
      </c>
      <c r="J362" s="44">
        <f>L362/2</f>
        <v>895</v>
      </c>
      <c r="K362" s="44"/>
      <c r="L362" s="63">
        <v>1790</v>
      </c>
      <c r="M362" s="64" t="s">
        <v>742</v>
      </c>
      <c r="N362" s="2"/>
    </row>
    <row r="363" spans="1:14" ht="14.4">
      <c r="A363" s="65">
        <v>45741</v>
      </c>
      <c r="B363" s="61" t="s">
        <v>1083</v>
      </c>
      <c r="C363" s="39" t="s">
        <v>1292</v>
      </c>
      <c r="D363" s="20" t="s">
        <v>985</v>
      </c>
      <c r="E363" s="54" t="s">
        <v>447</v>
      </c>
      <c r="F363" s="54" t="s">
        <v>22</v>
      </c>
      <c r="G363" s="54" t="s">
        <v>23</v>
      </c>
      <c r="H363" s="39" t="s">
        <v>1211</v>
      </c>
      <c r="I363" s="39" t="s">
        <v>1293</v>
      </c>
      <c r="J363" s="44">
        <v>500</v>
      </c>
      <c r="K363" s="44"/>
      <c r="L363" s="63">
        <v>1545</v>
      </c>
      <c r="M363" s="64" t="s">
        <v>742</v>
      </c>
      <c r="N363" s="2"/>
    </row>
    <row r="364" spans="1:14" ht="14.4">
      <c r="A364" s="65">
        <v>45741</v>
      </c>
      <c r="B364" s="61" t="s">
        <v>1294</v>
      </c>
      <c r="C364" s="39" t="s">
        <v>1295</v>
      </c>
      <c r="D364" s="20" t="s">
        <v>280</v>
      </c>
      <c r="E364" s="54" t="s">
        <v>519</v>
      </c>
      <c r="F364" s="54" t="s">
        <v>33</v>
      </c>
      <c r="G364" s="54" t="s">
        <v>23</v>
      </c>
      <c r="H364" s="39" t="s">
        <v>1225</v>
      </c>
      <c r="I364" s="39" t="s">
        <v>1220</v>
      </c>
      <c r="J364" s="44">
        <v>175</v>
      </c>
      <c r="K364" s="44">
        <v>175</v>
      </c>
      <c r="L364" s="63">
        <v>350</v>
      </c>
      <c r="M364" s="64" t="s">
        <v>1122</v>
      </c>
      <c r="N364" s="2"/>
    </row>
    <row r="365" spans="1:14" ht="14.4">
      <c r="A365" s="65">
        <v>45742</v>
      </c>
      <c r="B365" s="61" t="s">
        <v>1296</v>
      </c>
      <c r="C365" s="39" t="s">
        <v>1297</v>
      </c>
      <c r="D365" s="20" t="s">
        <v>498</v>
      </c>
      <c r="E365" s="54" t="s">
        <v>447</v>
      </c>
      <c r="F365" s="54" t="s">
        <v>253</v>
      </c>
      <c r="G365" s="54" t="s">
        <v>23</v>
      </c>
      <c r="H365" s="39" t="s">
        <v>1298</v>
      </c>
      <c r="I365" s="39" t="s">
        <v>1299</v>
      </c>
      <c r="J365" s="44">
        <v>357.5</v>
      </c>
      <c r="K365" s="44"/>
      <c r="L365" s="63">
        <v>715</v>
      </c>
      <c r="M365" s="64" t="s">
        <v>742</v>
      </c>
      <c r="N365" s="2"/>
    </row>
    <row r="366" spans="1:14" ht="14.4">
      <c r="A366" s="65">
        <v>45742</v>
      </c>
      <c r="B366" s="61" t="s">
        <v>1300</v>
      </c>
      <c r="C366" s="39" t="s">
        <v>1301</v>
      </c>
      <c r="D366" s="20" t="s">
        <v>1050</v>
      </c>
      <c r="E366" s="54" t="s">
        <v>447</v>
      </c>
      <c r="F366" s="54" t="s">
        <v>33</v>
      </c>
      <c r="G366" s="54" t="s">
        <v>23</v>
      </c>
      <c r="H366" s="39" t="s">
        <v>1065</v>
      </c>
      <c r="I366" s="39"/>
      <c r="J366" s="44">
        <v>400</v>
      </c>
      <c r="K366" s="44"/>
      <c r="L366" s="63">
        <v>400</v>
      </c>
      <c r="M366" s="141" t="s">
        <v>840</v>
      </c>
      <c r="N366" s="2"/>
    </row>
    <row r="367" spans="1:14" ht="14.4">
      <c r="A367" s="65">
        <v>45742</v>
      </c>
      <c r="B367" s="61" t="s">
        <v>1302</v>
      </c>
      <c r="C367" s="39" t="s">
        <v>1303</v>
      </c>
      <c r="D367" s="20" t="s">
        <v>1035</v>
      </c>
      <c r="E367" s="54" t="s">
        <v>519</v>
      </c>
      <c r="F367" s="54" t="s">
        <v>33</v>
      </c>
      <c r="G367" s="54" t="s">
        <v>23</v>
      </c>
      <c r="H367" s="39" t="s">
        <v>1051</v>
      </c>
      <c r="I367" s="39"/>
      <c r="J367" s="44">
        <v>50</v>
      </c>
      <c r="K367" s="44">
        <v>50</v>
      </c>
      <c r="L367" s="63">
        <v>100</v>
      </c>
      <c r="M367" s="64" t="s">
        <v>1122</v>
      </c>
      <c r="N367" s="2"/>
    </row>
    <row r="368" spans="1:14" ht="14.4">
      <c r="A368" s="65">
        <v>45742</v>
      </c>
      <c r="B368" s="61" t="s">
        <v>1304</v>
      </c>
      <c r="C368" s="39" t="s">
        <v>1305</v>
      </c>
      <c r="D368" s="20" t="s">
        <v>1306</v>
      </c>
      <c r="E368" s="54" t="s">
        <v>519</v>
      </c>
      <c r="F368" s="54" t="s">
        <v>27</v>
      </c>
      <c r="G368" s="54" t="s">
        <v>294</v>
      </c>
      <c r="H368" s="39" t="s">
        <v>783</v>
      </c>
      <c r="I368" s="39"/>
      <c r="J368" s="44">
        <v>190</v>
      </c>
      <c r="K368" s="44"/>
      <c r="L368" s="44" t="s">
        <v>12</v>
      </c>
      <c r="M368" s="141" t="s">
        <v>840</v>
      </c>
      <c r="N368" s="2"/>
    </row>
    <row r="369" spans="1:14" ht="14.4">
      <c r="A369" s="65">
        <v>45743</v>
      </c>
      <c r="B369" s="61" t="s">
        <v>1307</v>
      </c>
      <c r="C369" s="39" t="s">
        <v>1308</v>
      </c>
      <c r="D369" s="20" t="s">
        <v>1050</v>
      </c>
      <c r="E369" s="54" t="s">
        <v>519</v>
      </c>
      <c r="F369" s="54" t="s">
        <v>33</v>
      </c>
      <c r="G369" s="54" t="s">
        <v>23</v>
      </c>
      <c r="H369" s="39" t="s">
        <v>1309</v>
      </c>
      <c r="I369" s="39"/>
      <c r="J369" s="44">
        <v>110</v>
      </c>
      <c r="K369" s="44"/>
      <c r="L369" s="63">
        <v>110</v>
      </c>
      <c r="M369" s="141" t="s">
        <v>840</v>
      </c>
      <c r="N369" s="2"/>
    </row>
    <row r="370" spans="1:14" ht="14.4">
      <c r="A370" s="65">
        <v>45743</v>
      </c>
      <c r="B370" s="61" t="s">
        <v>1200</v>
      </c>
      <c r="C370" s="39" t="s">
        <v>1169</v>
      </c>
      <c r="D370" s="20" t="s">
        <v>1035</v>
      </c>
      <c r="E370" s="54" t="s">
        <v>519</v>
      </c>
      <c r="F370" s="54" t="s">
        <v>33</v>
      </c>
      <c r="G370" s="54" t="s">
        <v>23</v>
      </c>
      <c r="H370" s="39" t="s">
        <v>1167</v>
      </c>
      <c r="I370" s="39"/>
      <c r="J370" s="44">
        <v>2007</v>
      </c>
      <c r="K370" s="44"/>
      <c r="L370" s="63">
        <v>2007</v>
      </c>
      <c r="M370" s="141" t="s">
        <v>840</v>
      </c>
      <c r="N370" s="2"/>
    </row>
    <row r="371" spans="1:14" ht="14.4">
      <c r="A371" s="65">
        <v>45743</v>
      </c>
      <c r="B371" s="61" t="s">
        <v>1310</v>
      </c>
      <c r="C371" s="39" t="s">
        <v>1311</v>
      </c>
      <c r="D371" s="20" t="s">
        <v>446</v>
      </c>
      <c r="E371" s="54" t="s">
        <v>447</v>
      </c>
      <c r="F371" s="54" t="s">
        <v>33</v>
      </c>
      <c r="G371" s="54" t="s">
        <v>23</v>
      </c>
      <c r="H371" s="39" t="s">
        <v>879</v>
      </c>
      <c r="I371" s="39" t="s">
        <v>1220</v>
      </c>
      <c r="J371" s="44">
        <v>40</v>
      </c>
      <c r="K371" s="44"/>
      <c r="L371" s="63">
        <v>40</v>
      </c>
      <c r="M371" s="64" t="s">
        <v>1122</v>
      </c>
      <c r="N371" s="2"/>
    </row>
    <row r="372" spans="1:14" ht="14.4">
      <c r="A372" s="65">
        <v>45743</v>
      </c>
      <c r="B372" s="61" t="s">
        <v>1039</v>
      </c>
      <c r="C372" s="39" t="s">
        <v>1312</v>
      </c>
      <c r="D372" s="20" t="s">
        <v>1035</v>
      </c>
      <c r="E372" s="54" t="s">
        <v>519</v>
      </c>
      <c r="F372" s="54" t="s">
        <v>33</v>
      </c>
      <c r="G372" s="54" t="s">
        <v>23</v>
      </c>
      <c r="H372" s="39" t="s">
        <v>1051</v>
      </c>
      <c r="I372" s="39"/>
      <c r="J372" s="44">
        <v>45</v>
      </c>
      <c r="K372" s="44">
        <v>45</v>
      </c>
      <c r="L372" s="63">
        <v>90</v>
      </c>
      <c r="M372" s="64" t="s">
        <v>1122</v>
      </c>
      <c r="N372" s="2"/>
    </row>
    <row r="373" spans="1:14" ht="14.4">
      <c r="A373" s="65">
        <v>45744</v>
      </c>
      <c r="B373" s="61" t="s">
        <v>1313</v>
      </c>
      <c r="C373" s="39" t="s">
        <v>1314</v>
      </c>
      <c r="D373" s="20" t="s">
        <v>1035</v>
      </c>
      <c r="E373" s="54" t="s">
        <v>519</v>
      </c>
      <c r="F373" s="54" t="s">
        <v>40</v>
      </c>
      <c r="G373" s="54" t="s">
        <v>40</v>
      </c>
      <c r="H373" s="39" t="s">
        <v>1051</v>
      </c>
      <c r="I373" s="39"/>
      <c r="J373" s="44">
        <v>90</v>
      </c>
      <c r="K373" s="44"/>
      <c r="L373" s="63">
        <v>90</v>
      </c>
      <c r="M373" s="141" t="s">
        <v>840</v>
      </c>
      <c r="N373" s="2"/>
    </row>
    <row r="374" spans="1:14" ht="14.4">
      <c r="A374" s="65">
        <v>45744</v>
      </c>
      <c r="B374" s="61" t="s">
        <v>1315</v>
      </c>
      <c r="C374" s="39" t="s">
        <v>1316</v>
      </c>
      <c r="D374" s="20" t="s">
        <v>974</v>
      </c>
      <c r="E374" s="54" t="s">
        <v>447</v>
      </c>
      <c r="F374" s="54" t="s">
        <v>40</v>
      </c>
      <c r="G374" s="54" t="s">
        <v>40</v>
      </c>
      <c r="H374" s="39" t="s">
        <v>1051</v>
      </c>
      <c r="I374" s="39"/>
      <c r="J374" s="44">
        <v>190</v>
      </c>
      <c r="K374" s="44"/>
      <c r="L374" s="63">
        <v>190</v>
      </c>
      <c r="M374" s="141" t="s">
        <v>840</v>
      </c>
      <c r="N374" s="2"/>
    </row>
    <row r="375" spans="1:14" ht="14.4">
      <c r="A375" s="65">
        <v>45744</v>
      </c>
      <c r="B375" s="61" t="s">
        <v>1313</v>
      </c>
      <c r="C375" s="39" t="s">
        <v>1314</v>
      </c>
      <c r="D375" s="20" t="s">
        <v>974</v>
      </c>
      <c r="E375" s="54" t="s">
        <v>519</v>
      </c>
      <c r="F375" s="54" t="s">
        <v>40</v>
      </c>
      <c r="G375" s="54" t="s">
        <v>40</v>
      </c>
      <c r="H375" s="39" t="s">
        <v>1051</v>
      </c>
      <c r="I375" s="39"/>
      <c r="J375" s="44">
        <v>90</v>
      </c>
      <c r="K375" s="44"/>
      <c r="L375" s="63">
        <v>90</v>
      </c>
      <c r="M375" s="64" t="s">
        <v>645</v>
      </c>
      <c r="N375" s="2"/>
    </row>
    <row r="376" spans="1:14" ht="14.4">
      <c r="A376" s="65">
        <v>45744</v>
      </c>
      <c r="B376" s="61" t="s">
        <v>1317</v>
      </c>
      <c r="C376" s="39" t="s">
        <v>1318</v>
      </c>
      <c r="D376" s="20" t="s">
        <v>1035</v>
      </c>
      <c r="E376" s="54" t="s">
        <v>519</v>
      </c>
      <c r="F376" s="54" t="s">
        <v>40</v>
      </c>
      <c r="G376" s="54" t="s">
        <v>40</v>
      </c>
      <c r="H376" s="39" t="s">
        <v>1319</v>
      </c>
      <c r="I376" s="39"/>
      <c r="J376" s="44">
        <v>1497</v>
      </c>
      <c r="K376" s="44"/>
      <c r="L376" s="63">
        <v>1497</v>
      </c>
      <c r="M376" s="64" t="s">
        <v>480</v>
      </c>
      <c r="N376" s="2"/>
    </row>
    <row r="377" spans="1:14" ht="14.4">
      <c r="A377" s="65">
        <v>45744</v>
      </c>
      <c r="B377" s="61" t="s">
        <v>1320</v>
      </c>
      <c r="C377" s="39" t="s">
        <v>1321</v>
      </c>
      <c r="D377" s="20" t="s">
        <v>864</v>
      </c>
      <c r="E377" s="54" t="s">
        <v>447</v>
      </c>
      <c r="F377" s="54" t="s">
        <v>25</v>
      </c>
      <c r="G377" s="10" t="s">
        <v>25</v>
      </c>
      <c r="H377" s="39" t="s">
        <v>230</v>
      </c>
      <c r="I377" s="39"/>
      <c r="J377" s="44">
        <v>1990</v>
      </c>
      <c r="K377" s="44"/>
      <c r="L377" s="63">
        <v>1990</v>
      </c>
      <c r="M377" s="141" t="s">
        <v>840</v>
      </c>
      <c r="N377" s="2"/>
    </row>
    <row r="378" spans="1:14" ht="14.4">
      <c r="A378" s="65">
        <v>45747</v>
      </c>
      <c r="B378" s="61" t="s">
        <v>1315</v>
      </c>
      <c r="C378" s="39" t="s">
        <v>1322</v>
      </c>
      <c r="D378" s="20" t="s">
        <v>974</v>
      </c>
      <c r="E378" s="54" t="s">
        <v>447</v>
      </c>
      <c r="F378" s="54" t="s">
        <v>40</v>
      </c>
      <c r="G378" s="54" t="s">
        <v>40</v>
      </c>
      <c r="H378" s="39" t="s">
        <v>1051</v>
      </c>
      <c r="I378" s="39"/>
      <c r="J378" s="44">
        <v>190</v>
      </c>
      <c r="K378" s="44"/>
      <c r="L378" s="63">
        <v>190</v>
      </c>
      <c r="M378" s="64" t="s">
        <v>480</v>
      </c>
      <c r="N378" s="2"/>
    </row>
    <row r="379" spans="1:14" ht="14.4">
      <c r="A379" s="65">
        <v>45745</v>
      </c>
      <c r="B379" s="61" t="s">
        <v>1323</v>
      </c>
      <c r="C379" s="39" t="s">
        <v>1324</v>
      </c>
      <c r="D379" s="20" t="s">
        <v>446</v>
      </c>
      <c r="E379" s="54" t="s">
        <v>447</v>
      </c>
      <c r="F379" s="54" t="s">
        <v>33</v>
      </c>
      <c r="G379" s="54" t="s">
        <v>23</v>
      </c>
      <c r="H379" s="39" t="s">
        <v>886</v>
      </c>
      <c r="I379" s="39" t="s">
        <v>1325</v>
      </c>
      <c r="J379" s="44">
        <v>50</v>
      </c>
      <c r="K379" s="44"/>
      <c r="L379" s="63">
        <v>50</v>
      </c>
      <c r="M379" s="64" t="s">
        <v>742</v>
      </c>
      <c r="N379" s="2"/>
    </row>
    <row r="380" spans="1:14" ht="14.4">
      <c r="A380" s="65">
        <v>45745</v>
      </c>
      <c r="B380" s="61" t="s">
        <v>1320</v>
      </c>
      <c r="C380" s="39" t="s">
        <v>1326</v>
      </c>
      <c r="D380" s="20" t="s">
        <v>864</v>
      </c>
      <c r="E380" s="54" t="s">
        <v>519</v>
      </c>
      <c r="F380" s="54" t="s">
        <v>25</v>
      </c>
      <c r="G380" s="10" t="s">
        <v>25</v>
      </c>
      <c r="H380" s="39" t="s">
        <v>230</v>
      </c>
      <c r="I380" s="39"/>
      <c r="J380" s="44">
        <v>1990</v>
      </c>
      <c r="K380" s="44"/>
      <c r="L380" s="63">
        <v>1990</v>
      </c>
      <c r="M380" s="64" t="s">
        <v>480</v>
      </c>
      <c r="N380" s="2"/>
    </row>
    <row r="381" spans="1:14" ht="14.4">
      <c r="A381" s="65">
        <v>45745</v>
      </c>
      <c r="B381" s="61" t="s">
        <v>1327</v>
      </c>
      <c r="C381" s="39" t="s">
        <v>1328</v>
      </c>
      <c r="D381" s="20" t="s">
        <v>280</v>
      </c>
      <c r="E381" s="54" t="s">
        <v>447</v>
      </c>
      <c r="F381" s="54" t="s">
        <v>33</v>
      </c>
      <c r="G381" s="54" t="s">
        <v>23</v>
      </c>
      <c r="H381" s="39" t="s">
        <v>1027</v>
      </c>
      <c r="I381" s="39" t="s">
        <v>1325</v>
      </c>
      <c r="J381" s="44">
        <v>300</v>
      </c>
      <c r="K381" s="44">
        <v>300</v>
      </c>
      <c r="L381" s="63">
        <v>600</v>
      </c>
      <c r="M381" s="64" t="s">
        <v>742</v>
      </c>
      <c r="N381" s="2"/>
    </row>
    <row r="382" spans="1:14" ht="14.4">
      <c r="A382" s="65">
        <v>45747</v>
      </c>
      <c r="B382" s="61" t="s">
        <v>1329</v>
      </c>
      <c r="C382" s="39" t="s">
        <v>1330</v>
      </c>
      <c r="D382" s="20" t="s">
        <v>502</v>
      </c>
      <c r="E382" s="54" t="s">
        <v>447</v>
      </c>
      <c r="F382" s="54" t="s">
        <v>33</v>
      </c>
      <c r="G382" s="54" t="s">
        <v>23</v>
      </c>
      <c r="H382" s="39" t="s">
        <v>886</v>
      </c>
      <c r="I382" s="39" t="s">
        <v>1091</v>
      </c>
      <c r="J382" s="44">
        <v>50</v>
      </c>
      <c r="K382" s="44"/>
      <c r="L382" s="63">
        <v>50</v>
      </c>
      <c r="M382" s="64" t="s">
        <v>742</v>
      </c>
      <c r="N382" s="2"/>
    </row>
    <row r="383" spans="1:14" ht="14.4">
      <c r="A383" s="65">
        <v>45747</v>
      </c>
      <c r="B383" s="61" t="s">
        <v>1331</v>
      </c>
      <c r="C383" s="39" t="s">
        <v>1332</v>
      </c>
      <c r="D383" s="20" t="s">
        <v>985</v>
      </c>
      <c r="E383" s="54" t="s">
        <v>447</v>
      </c>
      <c r="F383" s="54" t="s">
        <v>22</v>
      </c>
      <c r="G383" s="54" t="s">
        <v>23</v>
      </c>
      <c r="H383" s="39" t="s">
        <v>1030</v>
      </c>
      <c r="I383" s="39" t="s">
        <v>1069</v>
      </c>
      <c r="J383" s="44">
        <v>270</v>
      </c>
      <c r="K383" s="44">
        <v>270</v>
      </c>
      <c r="L383" s="63">
        <v>540</v>
      </c>
      <c r="M383" s="64" t="s">
        <v>742</v>
      </c>
      <c r="N383" s="2"/>
    </row>
    <row r="384" spans="1:14" ht="14.4">
      <c r="A384" s="65">
        <v>45747</v>
      </c>
      <c r="B384" s="61" t="s">
        <v>1333</v>
      </c>
      <c r="C384" s="39" t="s">
        <v>1334</v>
      </c>
      <c r="D384" s="20" t="s">
        <v>280</v>
      </c>
      <c r="E384" s="54" t="s">
        <v>447</v>
      </c>
      <c r="F384" s="54" t="s">
        <v>33</v>
      </c>
      <c r="G384" s="54" t="s">
        <v>23</v>
      </c>
      <c r="H384" s="39" t="s">
        <v>741</v>
      </c>
      <c r="I384" s="39"/>
      <c r="J384" s="44">
        <v>390</v>
      </c>
      <c r="K384" s="44"/>
      <c r="L384" s="63">
        <v>390</v>
      </c>
      <c r="M384" s="64" t="s">
        <v>742</v>
      </c>
      <c r="N384" s="2"/>
    </row>
    <row r="385" spans="1:14" ht="14.4">
      <c r="A385" s="65">
        <v>45747</v>
      </c>
      <c r="B385" s="61" t="s">
        <v>1335</v>
      </c>
      <c r="C385" s="39" t="s">
        <v>1336</v>
      </c>
      <c r="D385" s="20" t="s">
        <v>974</v>
      </c>
      <c r="E385" s="54" t="s">
        <v>447</v>
      </c>
      <c r="F385" s="54" t="s">
        <v>40</v>
      </c>
      <c r="G385" s="54" t="s">
        <v>40</v>
      </c>
      <c r="H385" s="39" t="s">
        <v>1337</v>
      </c>
      <c r="I385" s="39"/>
      <c r="J385" s="44">
        <v>45</v>
      </c>
      <c r="K385" s="44"/>
      <c r="L385" s="63">
        <v>45</v>
      </c>
      <c r="M385" s="64" t="s">
        <v>480</v>
      </c>
      <c r="N385" s="2"/>
    </row>
    <row r="386" spans="1:14" ht="14.4">
      <c r="A386" s="65">
        <v>45747</v>
      </c>
      <c r="B386" s="61" t="s">
        <v>1338</v>
      </c>
      <c r="C386" s="39" t="s">
        <v>1339</v>
      </c>
      <c r="D386" s="20" t="s">
        <v>985</v>
      </c>
      <c r="E386" s="54" t="s">
        <v>447</v>
      </c>
      <c r="F386" s="54" t="s">
        <v>33</v>
      </c>
      <c r="G386" s="54" t="s">
        <v>23</v>
      </c>
      <c r="H386" s="39" t="s">
        <v>1340</v>
      </c>
      <c r="I386" s="39" t="s">
        <v>1341</v>
      </c>
      <c r="J386" s="44">
        <v>177.5</v>
      </c>
      <c r="K386" s="44">
        <v>177.5</v>
      </c>
      <c r="L386" s="63">
        <v>355</v>
      </c>
      <c r="M386" s="64" t="s">
        <v>742</v>
      </c>
      <c r="N386" s="2"/>
    </row>
    <row r="387" spans="1:14" ht="14.4">
      <c r="A387" s="65">
        <v>45747</v>
      </c>
      <c r="B387" s="61" t="s">
        <v>1342</v>
      </c>
      <c r="C387" s="39" t="s">
        <v>1343</v>
      </c>
      <c r="D387" s="20" t="s">
        <v>1033</v>
      </c>
      <c r="E387" s="54" t="s">
        <v>519</v>
      </c>
      <c r="F387" s="54" t="s">
        <v>40</v>
      </c>
      <c r="G387" s="54" t="s">
        <v>40</v>
      </c>
      <c r="H387" s="39" t="s">
        <v>1309</v>
      </c>
      <c r="I387" s="39"/>
      <c r="J387" s="44">
        <v>176.5</v>
      </c>
      <c r="K387" s="44"/>
      <c r="L387" s="63">
        <v>176.5</v>
      </c>
      <c r="M387" s="141" t="s">
        <v>840</v>
      </c>
      <c r="N387" s="2"/>
    </row>
    <row r="388" spans="1:14" ht="14.4">
      <c r="A388" s="65">
        <v>45747</v>
      </c>
      <c r="B388" s="61" t="s">
        <v>1344</v>
      </c>
      <c r="C388" s="39" t="s">
        <v>1345</v>
      </c>
      <c r="D388" s="20" t="s">
        <v>1254</v>
      </c>
      <c r="E388" s="54" t="s">
        <v>447</v>
      </c>
      <c r="F388" s="54" t="s">
        <v>284</v>
      </c>
      <c r="G388" s="54" t="s">
        <v>23</v>
      </c>
      <c r="H388" s="39" t="s">
        <v>1346</v>
      </c>
      <c r="I388" s="39" t="s">
        <v>1220</v>
      </c>
      <c r="J388" s="44">
        <v>175</v>
      </c>
      <c r="K388" s="44">
        <v>175</v>
      </c>
      <c r="L388" s="63">
        <v>350</v>
      </c>
      <c r="M388" s="64" t="s">
        <v>742</v>
      </c>
      <c r="N388" s="2"/>
    </row>
    <row r="389" spans="1:14" ht="14.4">
      <c r="A389" s="65">
        <v>45748</v>
      </c>
      <c r="B389" s="61" t="s">
        <v>1347</v>
      </c>
      <c r="C389" s="39" t="s">
        <v>1348</v>
      </c>
      <c r="D389" s="20" t="s">
        <v>502</v>
      </c>
      <c r="E389" s="54" t="s">
        <v>447</v>
      </c>
      <c r="F389" s="54" t="s">
        <v>33</v>
      </c>
      <c r="G389" s="54" t="s">
        <v>23</v>
      </c>
      <c r="H389" s="39" t="s">
        <v>886</v>
      </c>
      <c r="I389" s="39" t="s">
        <v>1220</v>
      </c>
      <c r="J389" s="44">
        <v>30</v>
      </c>
      <c r="K389" s="44"/>
      <c r="L389" s="63">
        <v>30</v>
      </c>
      <c r="M389" s="64" t="s">
        <v>742</v>
      </c>
      <c r="N389" s="2"/>
    </row>
    <row r="390" spans="1:14" ht="14.4">
      <c r="A390" s="65">
        <v>45748</v>
      </c>
      <c r="B390" s="61" t="s">
        <v>1349</v>
      </c>
      <c r="C390" s="39" t="s">
        <v>1350</v>
      </c>
      <c r="D390" s="20" t="s">
        <v>27</v>
      </c>
      <c r="E390" s="54" t="s">
        <v>447</v>
      </c>
      <c r="F390" s="54" t="s">
        <v>27</v>
      </c>
      <c r="G390" s="54" t="s">
        <v>27</v>
      </c>
      <c r="H390" s="39" t="s">
        <v>1135</v>
      </c>
      <c r="I390" s="39" t="s">
        <v>14</v>
      </c>
      <c r="J390" s="44">
        <v>290</v>
      </c>
      <c r="K390" s="44"/>
      <c r="L390" s="63">
        <v>290</v>
      </c>
      <c r="M390" s="64" t="s">
        <v>742</v>
      </c>
      <c r="N390" s="2"/>
    </row>
    <row r="391" spans="1:14" ht="14.4">
      <c r="A391" s="65">
        <v>45748</v>
      </c>
      <c r="B391" s="61" t="s">
        <v>1351</v>
      </c>
      <c r="C391" s="39" t="s">
        <v>1352</v>
      </c>
      <c r="D391" s="20" t="s">
        <v>1254</v>
      </c>
      <c r="E391" s="54" t="s">
        <v>447</v>
      </c>
      <c r="F391" s="54" t="s">
        <v>35</v>
      </c>
      <c r="G391" s="54" t="s">
        <v>23</v>
      </c>
      <c r="H391" s="39" t="s">
        <v>1353</v>
      </c>
      <c r="I391" s="39" t="s">
        <v>1173</v>
      </c>
      <c r="J391" s="44">
        <v>250</v>
      </c>
      <c r="K391" s="44">
        <f t="shared" ref="K391:K392" si="1">L391-J391</f>
        <v>325</v>
      </c>
      <c r="L391" s="63">
        <v>575</v>
      </c>
      <c r="M391" s="64" t="s">
        <v>742</v>
      </c>
      <c r="N391" s="2"/>
    </row>
    <row r="392" spans="1:14" ht="14.4">
      <c r="A392" s="65">
        <v>45748</v>
      </c>
      <c r="B392" s="61" t="s">
        <v>1354</v>
      </c>
      <c r="C392" s="39" t="s">
        <v>1355</v>
      </c>
      <c r="D392" s="20" t="s">
        <v>985</v>
      </c>
      <c r="E392" s="54" t="s">
        <v>447</v>
      </c>
      <c r="F392" s="54" t="s">
        <v>33</v>
      </c>
      <c r="G392" s="54" t="s">
        <v>23</v>
      </c>
      <c r="H392" s="39" t="s">
        <v>1356</v>
      </c>
      <c r="I392" s="39" t="s">
        <v>1111</v>
      </c>
      <c r="J392" s="44">
        <v>162.5</v>
      </c>
      <c r="K392" s="44">
        <f t="shared" si="1"/>
        <v>162.5</v>
      </c>
      <c r="L392" s="63">
        <v>325</v>
      </c>
      <c r="M392" s="64" t="s">
        <v>742</v>
      </c>
      <c r="N392" s="2"/>
    </row>
    <row r="393" spans="1:14" ht="14.4">
      <c r="A393" s="65">
        <v>45748</v>
      </c>
      <c r="B393" s="61" t="s">
        <v>1357</v>
      </c>
      <c r="C393" s="39" t="s">
        <v>1358</v>
      </c>
      <c r="D393" s="20" t="s">
        <v>502</v>
      </c>
      <c r="E393" s="54" t="s">
        <v>447</v>
      </c>
      <c r="F393" s="54" t="s">
        <v>33</v>
      </c>
      <c r="G393" s="54" t="s">
        <v>23</v>
      </c>
      <c r="H393" s="39" t="s">
        <v>886</v>
      </c>
      <c r="I393" s="39" t="s">
        <v>1085</v>
      </c>
      <c r="J393" s="44">
        <v>35</v>
      </c>
      <c r="K393" s="44"/>
      <c r="L393" s="63">
        <v>35</v>
      </c>
      <c r="M393" s="64" t="s">
        <v>742</v>
      </c>
      <c r="N393" s="2"/>
    </row>
    <row r="394" spans="1:14" ht="14.4">
      <c r="A394" s="65">
        <v>45748</v>
      </c>
      <c r="B394" s="61" t="s">
        <v>1359</v>
      </c>
      <c r="C394" s="39" t="s">
        <v>1360</v>
      </c>
      <c r="D394" s="20" t="s">
        <v>1035</v>
      </c>
      <c r="E394" s="54" t="s">
        <v>519</v>
      </c>
      <c r="F394" s="54" t="s">
        <v>40</v>
      </c>
      <c r="G394" s="54" t="s">
        <v>40</v>
      </c>
      <c r="H394" s="39" t="s">
        <v>1170</v>
      </c>
      <c r="I394" s="39"/>
      <c r="J394" s="44">
        <v>100</v>
      </c>
      <c r="K394" s="44"/>
      <c r="L394" s="63">
        <v>100</v>
      </c>
      <c r="M394" s="64" t="s">
        <v>1122</v>
      </c>
      <c r="N394" s="2"/>
    </row>
    <row r="395" spans="1:14" ht="14.4">
      <c r="A395" s="65">
        <v>45748</v>
      </c>
      <c r="B395" s="61" t="s">
        <v>1361</v>
      </c>
      <c r="C395" s="39" t="s">
        <v>1362</v>
      </c>
      <c r="D395" s="20" t="s">
        <v>446</v>
      </c>
      <c r="E395" s="54" t="s">
        <v>447</v>
      </c>
      <c r="F395" s="54" t="s">
        <v>33</v>
      </c>
      <c r="G395" s="54" t="s">
        <v>23</v>
      </c>
      <c r="H395" s="39" t="s">
        <v>758</v>
      </c>
      <c r="I395" s="39" t="s">
        <v>1060</v>
      </c>
      <c r="J395" s="44">
        <f>L395/2</f>
        <v>495</v>
      </c>
      <c r="K395" s="44">
        <v>495</v>
      </c>
      <c r="L395" s="63">
        <v>990</v>
      </c>
      <c r="M395" s="64" t="s">
        <v>742</v>
      </c>
      <c r="N395" s="2"/>
    </row>
    <row r="396" spans="1:14" ht="14.4">
      <c r="A396" s="65">
        <v>45749</v>
      </c>
      <c r="B396" s="61" t="s">
        <v>1363</v>
      </c>
      <c r="C396" s="39" t="s">
        <v>1364</v>
      </c>
      <c r="D396" s="20" t="s">
        <v>992</v>
      </c>
      <c r="E396" s="54" t="s">
        <v>447</v>
      </c>
      <c r="F396" s="54" t="s">
        <v>56</v>
      </c>
      <c r="G396" s="54" t="s">
        <v>56</v>
      </c>
      <c r="H396" s="39" t="s">
        <v>1365</v>
      </c>
      <c r="I396" s="39"/>
      <c r="J396" s="44">
        <v>250</v>
      </c>
      <c r="K396" s="44"/>
      <c r="L396" s="63">
        <v>250</v>
      </c>
      <c r="M396" s="64" t="s">
        <v>742</v>
      </c>
      <c r="N396" s="2"/>
    </row>
    <row r="397" spans="1:14" ht="14.4">
      <c r="A397" s="65">
        <v>45749</v>
      </c>
      <c r="B397" s="61" t="s">
        <v>1366</v>
      </c>
      <c r="C397" s="39" t="s">
        <v>1367</v>
      </c>
      <c r="D397" s="20" t="s">
        <v>280</v>
      </c>
      <c r="E397" s="54" t="s">
        <v>447</v>
      </c>
      <c r="F397" s="54" t="s">
        <v>33</v>
      </c>
      <c r="G397" s="54" t="s">
        <v>23</v>
      </c>
      <c r="H397" s="39" t="s">
        <v>886</v>
      </c>
      <c r="I397" s="39" t="s">
        <v>1085</v>
      </c>
      <c r="J397" s="44">
        <v>40</v>
      </c>
      <c r="K397" s="44"/>
      <c r="L397" s="63">
        <v>40</v>
      </c>
      <c r="M397" s="64" t="s">
        <v>742</v>
      </c>
      <c r="N397" s="2"/>
    </row>
    <row r="398" spans="1:14" ht="14.4">
      <c r="A398" s="65">
        <v>45749</v>
      </c>
      <c r="B398" s="61" t="s">
        <v>1368</v>
      </c>
      <c r="C398" s="39" t="s">
        <v>1369</v>
      </c>
      <c r="D398" s="20" t="s">
        <v>992</v>
      </c>
      <c r="E398" s="54" t="s">
        <v>447</v>
      </c>
      <c r="F398" s="54" t="s">
        <v>56</v>
      </c>
      <c r="G398" s="54" t="s">
        <v>56</v>
      </c>
      <c r="H398" s="39" t="s">
        <v>993</v>
      </c>
      <c r="I398" s="39"/>
      <c r="J398" s="44">
        <v>390</v>
      </c>
      <c r="K398" s="44"/>
      <c r="L398" s="63">
        <v>390</v>
      </c>
      <c r="M398" s="64" t="s">
        <v>742</v>
      </c>
      <c r="N398" s="2"/>
    </row>
    <row r="399" spans="1:14" ht="14.4">
      <c r="A399" s="42">
        <v>45749</v>
      </c>
      <c r="B399" s="61" t="s">
        <v>1370</v>
      </c>
      <c r="C399" s="39" t="s">
        <v>1336</v>
      </c>
      <c r="D399" s="20" t="s">
        <v>974</v>
      </c>
      <c r="E399" s="54" t="s">
        <v>447</v>
      </c>
      <c r="F399" s="54" t="s">
        <v>40</v>
      </c>
      <c r="G399" s="54" t="s">
        <v>40</v>
      </c>
      <c r="H399" s="39" t="s">
        <v>1371</v>
      </c>
      <c r="I399" s="39"/>
      <c r="J399" s="44">
        <v>45</v>
      </c>
      <c r="K399" s="44"/>
      <c r="L399" s="63">
        <v>45</v>
      </c>
      <c r="M399" s="64" t="s">
        <v>480</v>
      </c>
      <c r="N399" s="2"/>
    </row>
    <row r="400" spans="1:14" ht="14.4">
      <c r="A400" s="42">
        <v>45749</v>
      </c>
      <c r="B400" s="61" t="s">
        <v>1372</v>
      </c>
      <c r="C400" s="39" t="s">
        <v>1373</v>
      </c>
      <c r="D400" s="20" t="s">
        <v>446</v>
      </c>
      <c r="E400" s="54" t="s">
        <v>447</v>
      </c>
      <c r="F400" s="54" t="s">
        <v>33</v>
      </c>
      <c r="G400" s="54" t="s">
        <v>23</v>
      </c>
      <c r="H400" s="39" t="s">
        <v>886</v>
      </c>
      <c r="I400" s="39" t="s">
        <v>1220</v>
      </c>
      <c r="J400" s="44">
        <v>25</v>
      </c>
      <c r="K400" s="44"/>
      <c r="L400" s="63">
        <v>25</v>
      </c>
      <c r="M400" s="64" t="s">
        <v>742</v>
      </c>
      <c r="N400" s="2"/>
    </row>
    <row r="401" spans="1:14" ht="14.4">
      <c r="A401" s="42">
        <v>45749</v>
      </c>
      <c r="B401" s="61" t="s">
        <v>598</v>
      </c>
      <c r="C401" s="39" t="s">
        <v>660</v>
      </c>
      <c r="D401" s="20" t="s">
        <v>1035</v>
      </c>
      <c r="E401" s="54" t="s">
        <v>447</v>
      </c>
      <c r="F401" s="54" t="s">
        <v>40</v>
      </c>
      <c r="G401" s="54" t="s">
        <v>40</v>
      </c>
      <c r="H401" s="39" t="s">
        <v>661</v>
      </c>
      <c r="I401" s="39"/>
      <c r="J401" s="44">
        <v>2607</v>
      </c>
      <c r="K401" s="44"/>
      <c r="L401" s="63">
        <v>2607</v>
      </c>
      <c r="M401" s="64" t="s">
        <v>480</v>
      </c>
      <c r="N401" s="2"/>
    </row>
    <row r="402" spans="1:14" ht="14.4">
      <c r="A402" s="42">
        <v>45750</v>
      </c>
      <c r="B402" s="61" t="s">
        <v>1374</v>
      </c>
      <c r="C402" s="39" t="s">
        <v>1375</v>
      </c>
      <c r="D402" s="20" t="s">
        <v>1254</v>
      </c>
      <c r="E402" s="54" t="s">
        <v>447</v>
      </c>
      <c r="F402" s="54" t="s">
        <v>284</v>
      </c>
      <c r="G402" s="54" t="s">
        <v>23</v>
      </c>
      <c r="H402" s="39" t="s">
        <v>1346</v>
      </c>
      <c r="I402" s="39" t="s">
        <v>1091</v>
      </c>
      <c r="J402" s="44">
        <v>225</v>
      </c>
      <c r="K402" s="44">
        <v>225</v>
      </c>
      <c r="L402" s="63">
        <v>450</v>
      </c>
      <c r="M402" s="64" t="s">
        <v>742</v>
      </c>
      <c r="N402" s="2"/>
    </row>
    <row r="403" spans="1:14" ht="14.4">
      <c r="A403" s="42">
        <v>45750</v>
      </c>
      <c r="B403" s="61" t="s">
        <v>1368</v>
      </c>
      <c r="C403" s="39" t="s">
        <v>1369</v>
      </c>
      <c r="D403" s="20" t="s">
        <v>992</v>
      </c>
      <c r="E403" s="54" t="s">
        <v>447</v>
      </c>
      <c r="F403" s="54" t="s">
        <v>56</v>
      </c>
      <c r="G403" s="54" t="s">
        <v>56</v>
      </c>
      <c r="H403" s="39" t="s">
        <v>1376</v>
      </c>
      <c r="I403" s="39"/>
      <c r="J403" s="44">
        <v>99</v>
      </c>
      <c r="K403" s="44"/>
      <c r="L403" s="63">
        <v>99</v>
      </c>
      <c r="M403" s="64" t="s">
        <v>742</v>
      </c>
      <c r="N403" s="2"/>
    </row>
    <row r="404" spans="1:14" ht="14.4">
      <c r="A404" s="42">
        <v>45750</v>
      </c>
      <c r="B404" s="61" t="s">
        <v>1377</v>
      </c>
      <c r="C404" s="39" t="s">
        <v>1378</v>
      </c>
      <c r="D404" s="20" t="s">
        <v>502</v>
      </c>
      <c r="E404" s="54" t="s">
        <v>447</v>
      </c>
      <c r="F404" s="54" t="s">
        <v>33</v>
      </c>
      <c r="G404" s="54" t="s">
        <v>23</v>
      </c>
      <c r="H404" s="39" t="s">
        <v>886</v>
      </c>
      <c r="I404" s="39" t="s">
        <v>1325</v>
      </c>
      <c r="J404" s="44">
        <v>40</v>
      </c>
      <c r="K404" s="44">
        <v>40</v>
      </c>
      <c r="L404" s="63">
        <v>80</v>
      </c>
      <c r="M404" s="64" t="s">
        <v>1122</v>
      </c>
      <c r="N404" s="2"/>
    </row>
    <row r="405" spans="1:14" ht="14.4">
      <c r="A405" s="42">
        <v>45750</v>
      </c>
      <c r="B405" s="61" t="s">
        <v>1379</v>
      </c>
      <c r="C405" s="39" t="s">
        <v>1380</v>
      </c>
      <c r="D405" s="20" t="s">
        <v>974</v>
      </c>
      <c r="E405" s="54" t="s">
        <v>447</v>
      </c>
      <c r="F405" s="54" t="s">
        <v>40</v>
      </c>
      <c r="G405" s="54" t="s">
        <v>40</v>
      </c>
      <c r="H405" s="39" t="s">
        <v>1088</v>
      </c>
      <c r="I405" s="39"/>
      <c r="J405" s="44">
        <v>130</v>
      </c>
      <c r="K405" s="44"/>
      <c r="L405" s="63">
        <v>130</v>
      </c>
      <c r="M405" s="64" t="s">
        <v>1381</v>
      </c>
      <c r="N405" s="2"/>
    </row>
    <row r="406" spans="1:14" ht="14.4">
      <c r="A406" s="42">
        <v>45750</v>
      </c>
      <c r="B406" s="61" t="s">
        <v>1382</v>
      </c>
      <c r="C406" s="39" t="s">
        <v>1383</v>
      </c>
      <c r="D406" s="20" t="s">
        <v>502</v>
      </c>
      <c r="E406" s="54" t="s">
        <v>447</v>
      </c>
      <c r="F406" s="54" t="s">
        <v>33</v>
      </c>
      <c r="G406" s="54" t="s">
        <v>23</v>
      </c>
      <c r="H406" s="39" t="s">
        <v>1384</v>
      </c>
      <c r="I406" s="39" t="s">
        <v>1091</v>
      </c>
      <c r="J406" s="44">
        <v>40</v>
      </c>
      <c r="K406" s="44"/>
      <c r="L406" s="63">
        <v>40</v>
      </c>
      <c r="M406" s="64" t="s">
        <v>1385</v>
      </c>
      <c r="N406" s="2"/>
    </row>
    <row r="407" spans="1:14" ht="14.4">
      <c r="A407" s="42">
        <v>45751</v>
      </c>
      <c r="B407" s="61" t="s">
        <v>1386</v>
      </c>
      <c r="C407" s="39" t="s">
        <v>1387</v>
      </c>
      <c r="D407" s="20" t="s">
        <v>502</v>
      </c>
      <c r="E407" s="54" t="s">
        <v>447</v>
      </c>
      <c r="F407" s="54" t="s">
        <v>33</v>
      </c>
      <c r="G407" s="54" t="s">
        <v>23</v>
      </c>
      <c r="H407" s="39" t="s">
        <v>1384</v>
      </c>
      <c r="I407" s="39" t="s">
        <v>1142</v>
      </c>
      <c r="J407" s="44">
        <v>75</v>
      </c>
      <c r="K407" s="44"/>
      <c r="L407" s="63">
        <v>75</v>
      </c>
      <c r="M407" s="64" t="s">
        <v>742</v>
      </c>
      <c r="N407" s="2"/>
    </row>
    <row r="408" spans="1:14" ht="14.4">
      <c r="A408" s="42">
        <v>45751</v>
      </c>
      <c r="B408" s="123" t="s">
        <v>1379</v>
      </c>
      <c r="C408" s="124" t="s">
        <v>1380</v>
      </c>
      <c r="D408" s="125" t="s">
        <v>974</v>
      </c>
      <c r="E408" s="126" t="s">
        <v>447</v>
      </c>
      <c r="F408" s="54" t="s">
        <v>40</v>
      </c>
      <c r="G408" s="54" t="s">
        <v>40</v>
      </c>
      <c r="H408" s="124" t="s">
        <v>1088</v>
      </c>
      <c r="I408" s="124"/>
      <c r="J408" s="37">
        <v>1577</v>
      </c>
      <c r="K408" s="37"/>
      <c r="L408" s="127">
        <v>1577</v>
      </c>
      <c r="M408" s="64" t="s">
        <v>1381</v>
      </c>
      <c r="N408" s="2"/>
    </row>
    <row r="409" spans="1:14" ht="14.4">
      <c r="A409" s="42">
        <v>45752</v>
      </c>
      <c r="B409" s="61" t="s">
        <v>1302</v>
      </c>
      <c r="C409" s="39" t="s">
        <v>1303</v>
      </c>
      <c r="D409" s="20" t="s">
        <v>974</v>
      </c>
      <c r="E409" s="54" t="s">
        <v>447</v>
      </c>
      <c r="F409" s="54" t="s">
        <v>40</v>
      </c>
      <c r="G409" s="54" t="s">
        <v>40</v>
      </c>
      <c r="H409" s="39" t="s">
        <v>1371</v>
      </c>
      <c r="I409" s="39"/>
      <c r="J409" s="44">
        <v>100</v>
      </c>
      <c r="K409" s="44"/>
      <c r="L409" s="63">
        <v>100</v>
      </c>
      <c r="M409" s="64" t="s">
        <v>480</v>
      </c>
      <c r="N409" s="2"/>
    </row>
    <row r="410" spans="1:14" ht="14.4">
      <c r="A410" s="42">
        <v>45752</v>
      </c>
      <c r="B410" s="61" t="s">
        <v>1388</v>
      </c>
      <c r="C410" s="39" t="s">
        <v>1098</v>
      </c>
      <c r="D410" s="20" t="s">
        <v>864</v>
      </c>
      <c r="E410" s="54" t="s">
        <v>447</v>
      </c>
      <c r="F410" s="54" t="s">
        <v>25</v>
      </c>
      <c r="G410" s="10" t="s">
        <v>25</v>
      </c>
      <c r="H410" s="39" t="s">
        <v>296</v>
      </c>
      <c r="I410" s="39"/>
      <c r="J410" s="44">
        <v>590</v>
      </c>
      <c r="K410" s="44"/>
      <c r="L410" s="63">
        <v>590</v>
      </c>
      <c r="M410" s="64" t="s">
        <v>1381</v>
      </c>
      <c r="N410" s="2"/>
    </row>
    <row r="411" spans="1:14" ht="14.4">
      <c r="A411" s="42">
        <v>45752</v>
      </c>
      <c r="B411" s="61" t="s">
        <v>1388</v>
      </c>
      <c r="C411" s="39" t="s">
        <v>1098</v>
      </c>
      <c r="D411" s="20" t="s">
        <v>864</v>
      </c>
      <c r="E411" s="54" t="s">
        <v>447</v>
      </c>
      <c r="F411" s="54" t="s">
        <v>25</v>
      </c>
      <c r="G411" s="10" t="s">
        <v>25</v>
      </c>
      <c r="H411" s="39" t="s">
        <v>296</v>
      </c>
      <c r="I411" s="39"/>
      <c r="J411" s="44">
        <v>590</v>
      </c>
      <c r="K411" s="44"/>
      <c r="L411" s="63">
        <v>590</v>
      </c>
      <c r="M411" s="64" t="s">
        <v>480</v>
      </c>
      <c r="N411" s="2"/>
    </row>
    <row r="412" spans="1:14" ht="14.4">
      <c r="A412" s="42">
        <v>45752</v>
      </c>
      <c r="B412" s="61" t="s">
        <v>1389</v>
      </c>
      <c r="C412" s="39" t="s">
        <v>1390</v>
      </c>
      <c r="D412" s="20" t="s">
        <v>1033</v>
      </c>
      <c r="E412" s="54" t="s">
        <v>447</v>
      </c>
      <c r="F412" s="54" t="s">
        <v>40</v>
      </c>
      <c r="G412" s="54" t="s">
        <v>40</v>
      </c>
      <c r="H412" s="39" t="s">
        <v>1371</v>
      </c>
      <c r="I412" s="39"/>
      <c r="J412" s="44">
        <v>130</v>
      </c>
      <c r="K412" s="44"/>
      <c r="L412" s="63">
        <v>130</v>
      </c>
      <c r="M412" s="64" t="s">
        <v>1381</v>
      </c>
      <c r="N412" s="2"/>
    </row>
    <row r="413" spans="1:14" ht="14.4">
      <c r="A413" s="42">
        <v>45754</v>
      </c>
      <c r="B413" s="61" t="s">
        <v>1391</v>
      </c>
      <c r="C413" s="39" t="s">
        <v>1392</v>
      </c>
      <c r="D413" s="20" t="s">
        <v>1035</v>
      </c>
      <c r="E413" s="54" t="s">
        <v>519</v>
      </c>
      <c r="F413" s="54" t="s">
        <v>40</v>
      </c>
      <c r="G413" s="54" t="s">
        <v>40</v>
      </c>
      <c r="H413" s="39" t="s">
        <v>1393</v>
      </c>
      <c r="I413" s="39"/>
      <c r="J413" s="44">
        <v>45</v>
      </c>
      <c r="K413" s="44"/>
      <c r="L413" s="63">
        <v>45</v>
      </c>
      <c r="M413" s="64" t="s">
        <v>742</v>
      </c>
      <c r="N413" s="2"/>
    </row>
    <row r="414" spans="1:14" ht="14.4">
      <c r="A414" s="42">
        <v>45754</v>
      </c>
      <c r="B414" s="61" t="s">
        <v>1394</v>
      </c>
      <c r="C414" s="39" t="s">
        <v>1395</v>
      </c>
      <c r="D414" s="20" t="s">
        <v>1033</v>
      </c>
      <c r="E414" s="54" t="s">
        <v>447</v>
      </c>
      <c r="F414" s="54" t="s">
        <v>40</v>
      </c>
      <c r="G414" s="54" t="s">
        <v>40</v>
      </c>
      <c r="H414" s="39" t="s">
        <v>661</v>
      </c>
      <c r="I414" s="39"/>
      <c r="J414" s="44">
        <v>2460</v>
      </c>
      <c r="K414" s="44"/>
      <c r="L414" s="63">
        <v>2460</v>
      </c>
      <c r="M414" s="64" t="s">
        <v>742</v>
      </c>
      <c r="N414" s="2"/>
    </row>
    <row r="415" spans="1:14" ht="14.4">
      <c r="A415" s="42">
        <v>45754</v>
      </c>
      <c r="B415" s="61" t="s">
        <v>1396</v>
      </c>
      <c r="C415" s="39" t="s">
        <v>1397</v>
      </c>
      <c r="D415" s="20" t="s">
        <v>280</v>
      </c>
      <c r="E415" s="54" t="s">
        <v>519</v>
      </c>
      <c r="F415" s="54" t="s">
        <v>22</v>
      </c>
      <c r="G415" s="54" t="s">
        <v>23</v>
      </c>
      <c r="H415" s="39" t="s">
        <v>1211</v>
      </c>
      <c r="I415" s="39" t="s">
        <v>1060</v>
      </c>
      <c r="J415" s="44">
        <v>100</v>
      </c>
      <c r="K415" s="44">
        <v>135</v>
      </c>
      <c r="L415" s="63">
        <v>235</v>
      </c>
      <c r="M415" s="64" t="s">
        <v>742</v>
      </c>
      <c r="N415" s="2"/>
    </row>
    <row r="416" spans="1:14" ht="14.4">
      <c r="A416" s="42">
        <v>45754</v>
      </c>
      <c r="B416" s="61" t="s">
        <v>1398</v>
      </c>
      <c r="C416" s="39" t="s">
        <v>1399</v>
      </c>
      <c r="D416" s="20" t="s">
        <v>502</v>
      </c>
      <c r="E416" s="54" t="s">
        <v>447</v>
      </c>
      <c r="F416" s="54" t="s">
        <v>33</v>
      </c>
      <c r="G416" s="54" t="s">
        <v>23</v>
      </c>
      <c r="H416" s="39" t="s">
        <v>1116</v>
      </c>
      <c r="I416" s="39" t="s">
        <v>1220</v>
      </c>
      <c r="J416" s="44">
        <v>35</v>
      </c>
      <c r="K416" s="44"/>
      <c r="L416" s="63">
        <v>35</v>
      </c>
      <c r="M416" s="64" t="s">
        <v>742</v>
      </c>
      <c r="N416" s="2"/>
    </row>
    <row r="417" spans="1:14" ht="14.4">
      <c r="A417" s="42">
        <v>45754</v>
      </c>
      <c r="B417" s="61" t="s">
        <v>1400</v>
      </c>
      <c r="C417" s="39" t="s">
        <v>1401</v>
      </c>
      <c r="D417" s="20" t="s">
        <v>1035</v>
      </c>
      <c r="E417" s="54" t="s">
        <v>447</v>
      </c>
      <c r="F417" s="54" t="s">
        <v>40</v>
      </c>
      <c r="G417" s="54" t="s">
        <v>40</v>
      </c>
      <c r="H417" s="39" t="s">
        <v>1393</v>
      </c>
      <c r="I417" s="39"/>
      <c r="J417" s="44">
        <v>100</v>
      </c>
      <c r="K417" s="44"/>
      <c r="L417" s="63">
        <v>100</v>
      </c>
      <c r="M417" s="64" t="s">
        <v>742</v>
      </c>
      <c r="N417" s="2"/>
    </row>
    <row r="418" spans="1:14" ht="14.4">
      <c r="A418" s="42">
        <v>45754</v>
      </c>
      <c r="B418" s="61" t="s">
        <v>1342</v>
      </c>
      <c r="C418" s="39" t="s">
        <v>1402</v>
      </c>
      <c r="D418" s="20" t="s">
        <v>1033</v>
      </c>
      <c r="E418" s="54" t="s">
        <v>447</v>
      </c>
      <c r="F418" s="54" t="s">
        <v>40</v>
      </c>
      <c r="G418" s="54" t="s">
        <v>40</v>
      </c>
      <c r="H418" s="39" t="s">
        <v>1393</v>
      </c>
      <c r="I418" s="39"/>
      <c r="J418" s="44">
        <v>45</v>
      </c>
      <c r="K418" s="44"/>
      <c r="L418" s="63">
        <v>45</v>
      </c>
      <c r="M418" s="64" t="s">
        <v>1381</v>
      </c>
      <c r="N418" s="2"/>
    </row>
    <row r="419" spans="1:14" ht="14.4">
      <c r="A419" s="42">
        <v>45754</v>
      </c>
      <c r="B419" s="61" t="s">
        <v>1403</v>
      </c>
      <c r="C419" s="39" t="s">
        <v>1404</v>
      </c>
      <c r="D419" s="20" t="s">
        <v>974</v>
      </c>
      <c r="E419" s="54" t="s">
        <v>447</v>
      </c>
      <c r="F419" s="54" t="s">
        <v>40</v>
      </c>
      <c r="G419" s="54" t="s">
        <v>40</v>
      </c>
      <c r="H419" s="39" t="s">
        <v>1393</v>
      </c>
      <c r="I419" s="39"/>
      <c r="J419" s="44">
        <v>240</v>
      </c>
      <c r="K419" s="44"/>
      <c r="L419" s="63">
        <v>240</v>
      </c>
      <c r="M419" s="64" t="s">
        <v>1381</v>
      </c>
      <c r="N419" s="2"/>
    </row>
    <row r="420" spans="1:14" ht="14.4">
      <c r="A420" s="42">
        <v>45755</v>
      </c>
      <c r="B420" s="61" t="s">
        <v>1405</v>
      </c>
      <c r="C420" s="39" t="s">
        <v>1314</v>
      </c>
      <c r="D420" s="20" t="s">
        <v>1035</v>
      </c>
      <c r="E420" s="54" t="s">
        <v>447</v>
      </c>
      <c r="F420" s="54" t="s">
        <v>40</v>
      </c>
      <c r="G420" s="54" t="s">
        <v>40</v>
      </c>
      <c r="H420" s="39" t="s">
        <v>1406</v>
      </c>
      <c r="I420" s="39"/>
      <c r="J420" s="44">
        <v>830</v>
      </c>
      <c r="K420" s="44">
        <v>1660</v>
      </c>
      <c r="L420" s="63">
        <v>830</v>
      </c>
      <c r="M420" s="64" t="s">
        <v>742</v>
      </c>
      <c r="N420" s="2"/>
    </row>
    <row r="421" spans="1:14" ht="14.4">
      <c r="A421" s="42">
        <v>45755</v>
      </c>
      <c r="B421" s="61" t="s">
        <v>1246</v>
      </c>
      <c r="C421" s="39" t="s">
        <v>1247</v>
      </c>
      <c r="D421" s="20" t="s">
        <v>446</v>
      </c>
      <c r="E421" s="54" t="s">
        <v>447</v>
      </c>
      <c r="F421" s="54" t="s">
        <v>33</v>
      </c>
      <c r="G421" s="54" t="s">
        <v>23</v>
      </c>
      <c r="H421" s="39" t="s">
        <v>1407</v>
      </c>
      <c r="I421" s="39" t="s">
        <v>1159</v>
      </c>
      <c r="J421" s="44">
        <v>1395</v>
      </c>
      <c r="K421" s="44">
        <v>1395</v>
      </c>
      <c r="L421" s="63">
        <v>2790</v>
      </c>
      <c r="M421" s="64" t="s">
        <v>742</v>
      </c>
      <c r="N421" s="2"/>
    </row>
    <row r="422" spans="1:14" ht="14.4">
      <c r="A422" s="42">
        <v>45755</v>
      </c>
      <c r="B422" s="61" t="s">
        <v>1370</v>
      </c>
      <c r="C422" s="39" t="s">
        <v>1336</v>
      </c>
      <c r="D422" s="20" t="s">
        <v>974</v>
      </c>
      <c r="E422" s="54" t="s">
        <v>447</v>
      </c>
      <c r="F422" s="54" t="s">
        <v>40</v>
      </c>
      <c r="G422" s="54" t="s">
        <v>40</v>
      </c>
      <c r="H422" s="39" t="s">
        <v>1393</v>
      </c>
      <c r="I422" s="39"/>
      <c r="J422" s="44">
        <v>45</v>
      </c>
      <c r="K422" s="44"/>
      <c r="L422" s="63">
        <v>45</v>
      </c>
      <c r="M422" s="64" t="s">
        <v>480</v>
      </c>
      <c r="N422" s="2"/>
    </row>
    <row r="423" spans="1:14" ht="14.4">
      <c r="A423" s="42">
        <v>45755</v>
      </c>
      <c r="B423" s="61" t="s">
        <v>1408</v>
      </c>
      <c r="C423" s="39" t="s">
        <v>1409</v>
      </c>
      <c r="D423" s="20" t="s">
        <v>1035</v>
      </c>
      <c r="E423" s="54" t="s">
        <v>447</v>
      </c>
      <c r="F423" s="54" t="s">
        <v>40</v>
      </c>
      <c r="G423" s="54" t="s">
        <v>40</v>
      </c>
      <c r="H423" s="39" t="s">
        <v>1410</v>
      </c>
      <c r="I423" s="39"/>
      <c r="J423" s="44">
        <v>364.5</v>
      </c>
      <c r="K423" s="44"/>
      <c r="L423" s="63">
        <v>364.5</v>
      </c>
      <c r="M423" s="64" t="s">
        <v>480</v>
      </c>
      <c r="N423" s="2"/>
    </row>
    <row r="424" spans="1:14" ht="14.4">
      <c r="A424" s="42">
        <v>45755</v>
      </c>
      <c r="B424" s="61" t="s">
        <v>1408</v>
      </c>
      <c r="C424" s="39" t="s">
        <v>1411</v>
      </c>
      <c r="D424" s="20" t="s">
        <v>1035</v>
      </c>
      <c r="E424" s="54" t="s">
        <v>447</v>
      </c>
      <c r="F424" s="54" t="s">
        <v>40</v>
      </c>
      <c r="G424" s="54" t="s">
        <v>40</v>
      </c>
      <c r="H424" s="39" t="s">
        <v>1410</v>
      </c>
      <c r="I424" s="39"/>
      <c r="J424" s="44">
        <v>364.5</v>
      </c>
      <c r="K424" s="44"/>
      <c r="L424" s="63">
        <v>364.5</v>
      </c>
      <c r="M424" s="64" t="s">
        <v>742</v>
      </c>
      <c r="N424" s="2"/>
    </row>
    <row r="425" spans="1:14" ht="14.4">
      <c r="A425" s="42">
        <v>45756</v>
      </c>
      <c r="B425" s="61" t="s">
        <v>1372</v>
      </c>
      <c r="C425" s="39" t="s">
        <v>1412</v>
      </c>
      <c r="D425" s="20" t="s">
        <v>446</v>
      </c>
      <c r="E425" s="54" t="s">
        <v>447</v>
      </c>
      <c r="F425" s="54" t="s">
        <v>33</v>
      </c>
      <c r="G425" s="54" t="s">
        <v>23</v>
      </c>
      <c r="H425" s="39" t="s">
        <v>1271</v>
      </c>
      <c r="I425" s="39" t="s">
        <v>1220</v>
      </c>
      <c r="J425" s="44">
        <v>1300</v>
      </c>
      <c r="K425" s="44">
        <v>1300</v>
      </c>
      <c r="L425" s="63">
        <v>2600</v>
      </c>
      <c r="M425" s="64" t="s">
        <v>742</v>
      </c>
      <c r="N425" s="2"/>
    </row>
    <row r="426" spans="1:14" ht="14.4">
      <c r="A426" s="42">
        <v>45756</v>
      </c>
      <c r="B426" s="61" t="s">
        <v>1413</v>
      </c>
      <c r="C426" s="39" t="s">
        <v>1414</v>
      </c>
      <c r="D426" s="20" t="s">
        <v>1035</v>
      </c>
      <c r="E426" s="54" t="s">
        <v>447</v>
      </c>
      <c r="F426" s="54" t="s">
        <v>40</v>
      </c>
      <c r="G426" s="54" t="s">
        <v>40</v>
      </c>
      <c r="H426" s="39" t="s">
        <v>1415</v>
      </c>
      <c r="I426" s="39"/>
      <c r="J426" s="44">
        <v>750</v>
      </c>
      <c r="K426" s="44">
        <v>750</v>
      </c>
      <c r="L426" s="63">
        <v>1500</v>
      </c>
      <c r="M426" s="64" t="s">
        <v>742</v>
      </c>
      <c r="N426" s="2"/>
    </row>
    <row r="427" spans="1:14" ht="14.4">
      <c r="A427" s="42">
        <v>45756</v>
      </c>
      <c r="B427" s="61" t="s">
        <v>1416</v>
      </c>
      <c r="C427" s="39" t="s">
        <v>1417</v>
      </c>
      <c r="D427" s="20" t="s">
        <v>1035</v>
      </c>
      <c r="E427" s="54" t="s">
        <v>447</v>
      </c>
      <c r="F427" s="54" t="s">
        <v>40</v>
      </c>
      <c r="G427" s="54" t="s">
        <v>40</v>
      </c>
      <c r="H427" s="39" t="s">
        <v>40</v>
      </c>
      <c r="I427" s="39"/>
      <c r="J427" s="44">
        <v>90</v>
      </c>
      <c r="K427" s="44"/>
      <c r="L427" s="63">
        <v>90</v>
      </c>
      <c r="M427" s="64" t="s">
        <v>1381</v>
      </c>
      <c r="N427" s="2"/>
    </row>
    <row r="428" spans="1:14" ht="14.4">
      <c r="A428" s="42">
        <v>45756</v>
      </c>
      <c r="B428" s="61" t="s">
        <v>1418</v>
      </c>
      <c r="C428" s="39" t="s">
        <v>1419</v>
      </c>
      <c r="D428" s="20" t="s">
        <v>1033</v>
      </c>
      <c r="E428" s="54" t="s">
        <v>447</v>
      </c>
      <c r="F428" s="54" t="s">
        <v>40</v>
      </c>
      <c r="G428" s="54" t="s">
        <v>40</v>
      </c>
      <c r="H428" s="39" t="s">
        <v>40</v>
      </c>
      <c r="I428" s="39"/>
      <c r="J428" s="44">
        <v>224.45</v>
      </c>
      <c r="K428" s="44"/>
      <c r="L428" s="63">
        <v>224.45</v>
      </c>
      <c r="M428" s="64" t="s">
        <v>1381</v>
      </c>
      <c r="N428" s="2"/>
    </row>
    <row r="429" spans="1:14" ht="14.4">
      <c r="A429" s="42">
        <v>45756</v>
      </c>
      <c r="B429" s="61" t="s">
        <v>1420</v>
      </c>
      <c r="C429" s="39" t="s">
        <v>1421</v>
      </c>
      <c r="D429" s="20" t="s">
        <v>280</v>
      </c>
      <c r="E429" s="54" t="s">
        <v>447</v>
      </c>
      <c r="F429" s="54" t="s">
        <v>33</v>
      </c>
      <c r="G429" s="54" t="s">
        <v>23</v>
      </c>
      <c r="H429" s="39" t="s">
        <v>1116</v>
      </c>
      <c r="I429" s="39" t="s">
        <v>1091</v>
      </c>
      <c r="J429" s="44">
        <v>80</v>
      </c>
      <c r="K429" s="44"/>
      <c r="L429" s="63">
        <v>80</v>
      </c>
      <c r="M429" s="64" t="s">
        <v>1381</v>
      </c>
      <c r="N429" s="2"/>
    </row>
    <row r="430" spans="1:14" ht="14.4">
      <c r="A430" s="42">
        <v>45756</v>
      </c>
      <c r="B430" s="61" t="s">
        <v>1422</v>
      </c>
      <c r="C430" s="39" t="s">
        <v>1423</v>
      </c>
      <c r="D430" s="20" t="s">
        <v>27</v>
      </c>
      <c r="E430" s="54" t="s">
        <v>447</v>
      </c>
      <c r="F430" s="54" t="s">
        <v>27</v>
      </c>
      <c r="G430" s="54" t="s">
        <v>27</v>
      </c>
      <c r="H430" s="39" t="s">
        <v>1424</v>
      </c>
      <c r="I430" s="39"/>
      <c r="J430" s="44">
        <v>390</v>
      </c>
      <c r="K430" s="44"/>
      <c r="L430" s="63">
        <v>390</v>
      </c>
      <c r="M430" s="64" t="s">
        <v>1381</v>
      </c>
      <c r="N430" s="2"/>
    </row>
    <row r="431" spans="1:14" ht="14.4">
      <c r="A431" s="42">
        <v>45756</v>
      </c>
      <c r="B431" s="61" t="s">
        <v>1425</v>
      </c>
      <c r="C431" s="39" t="s">
        <v>1426</v>
      </c>
      <c r="D431" s="20" t="s">
        <v>280</v>
      </c>
      <c r="E431" s="54" t="s">
        <v>447</v>
      </c>
      <c r="F431" s="54" t="s">
        <v>33</v>
      </c>
      <c r="G431" s="54" t="s">
        <v>23</v>
      </c>
      <c r="H431" s="39" t="s">
        <v>869</v>
      </c>
      <c r="I431" s="39" t="s">
        <v>1258</v>
      </c>
      <c r="J431" s="44">
        <v>90</v>
      </c>
      <c r="K431" s="44"/>
      <c r="L431" s="63">
        <v>90</v>
      </c>
      <c r="M431" s="64" t="s">
        <v>1385</v>
      </c>
      <c r="N431" s="2"/>
    </row>
    <row r="432" spans="1:14" ht="14.4">
      <c r="A432" s="42">
        <v>45757</v>
      </c>
      <c r="B432" s="61" t="s">
        <v>1427</v>
      </c>
      <c r="C432" s="39" t="s">
        <v>1428</v>
      </c>
      <c r="D432" s="20" t="s">
        <v>974</v>
      </c>
      <c r="E432" s="54" t="s">
        <v>447</v>
      </c>
      <c r="F432" s="54" t="s">
        <v>40</v>
      </c>
      <c r="G432" s="54" t="s">
        <v>40</v>
      </c>
      <c r="H432" s="39" t="s">
        <v>1151</v>
      </c>
      <c r="I432" s="39"/>
      <c r="J432" s="44">
        <v>957</v>
      </c>
      <c r="K432" s="44"/>
      <c r="L432" s="44">
        <v>957</v>
      </c>
      <c r="M432" s="64" t="s">
        <v>1385</v>
      </c>
      <c r="N432" s="2"/>
    </row>
    <row r="433" spans="1:14" ht="14.4">
      <c r="A433" s="42">
        <v>45758</v>
      </c>
      <c r="B433" s="61" t="s">
        <v>1429</v>
      </c>
      <c r="C433" s="39" t="s">
        <v>1430</v>
      </c>
      <c r="D433" s="20" t="s">
        <v>1035</v>
      </c>
      <c r="E433" s="54" t="s">
        <v>447</v>
      </c>
      <c r="F433" s="54" t="s">
        <v>40</v>
      </c>
      <c r="G433" s="54" t="s">
        <v>40</v>
      </c>
      <c r="H433" s="39" t="s">
        <v>1431</v>
      </c>
      <c r="I433" s="39"/>
      <c r="J433" s="44">
        <v>150</v>
      </c>
      <c r="K433" s="44"/>
      <c r="L433" s="63">
        <v>150</v>
      </c>
      <c r="M433" s="64" t="s">
        <v>1381</v>
      </c>
      <c r="N433" s="2"/>
    </row>
    <row r="434" spans="1:14" ht="14.4">
      <c r="A434" s="42">
        <v>45758</v>
      </c>
      <c r="B434" s="61" t="s">
        <v>1432</v>
      </c>
      <c r="C434" s="39" t="s">
        <v>1433</v>
      </c>
      <c r="D434" s="20" t="s">
        <v>446</v>
      </c>
      <c r="E434" s="54" t="s">
        <v>447</v>
      </c>
      <c r="F434" s="54" t="s">
        <v>22</v>
      </c>
      <c r="G434" s="54" t="s">
        <v>23</v>
      </c>
      <c r="H434" s="39" t="s">
        <v>1030</v>
      </c>
      <c r="I434" s="39" t="s">
        <v>1258</v>
      </c>
      <c r="J434" s="44">
        <v>215</v>
      </c>
      <c r="K434" s="44">
        <v>215</v>
      </c>
      <c r="L434" s="63">
        <v>430</v>
      </c>
      <c r="M434" s="64" t="s">
        <v>1381</v>
      </c>
      <c r="N434" s="2"/>
    </row>
    <row r="435" spans="1:14" ht="14.4">
      <c r="A435" s="42">
        <v>45758</v>
      </c>
      <c r="B435" s="61" t="s">
        <v>605</v>
      </c>
      <c r="C435" s="39" t="s">
        <v>1180</v>
      </c>
      <c r="D435" s="20" t="s">
        <v>864</v>
      </c>
      <c r="E435" s="54" t="s">
        <v>447</v>
      </c>
      <c r="F435" s="54" t="s">
        <v>25</v>
      </c>
      <c r="G435" s="10" t="s">
        <v>25</v>
      </c>
      <c r="H435" s="39" t="s">
        <v>1434</v>
      </c>
      <c r="I435" s="39"/>
      <c r="J435" s="44">
        <v>1180</v>
      </c>
      <c r="K435" s="44"/>
      <c r="L435" s="63">
        <v>1180</v>
      </c>
      <c r="M435" s="64" t="s">
        <v>480</v>
      </c>
      <c r="N435" s="2"/>
    </row>
    <row r="436" spans="1:14" ht="14.4">
      <c r="A436" s="42">
        <v>45758</v>
      </c>
      <c r="B436" s="61" t="s">
        <v>1435</v>
      </c>
      <c r="C436" s="39" t="s">
        <v>1436</v>
      </c>
      <c r="D436" s="20" t="s">
        <v>280</v>
      </c>
      <c r="E436" s="54" t="s">
        <v>447</v>
      </c>
      <c r="F436" s="54" t="s">
        <v>22</v>
      </c>
      <c r="G436" s="54" t="s">
        <v>23</v>
      </c>
      <c r="H436" s="39" t="s">
        <v>1437</v>
      </c>
      <c r="I436" s="39"/>
      <c r="J436" s="44">
        <v>150</v>
      </c>
      <c r="K436" s="44">
        <v>150</v>
      </c>
      <c r="L436" s="63">
        <v>300</v>
      </c>
      <c r="M436" s="64" t="s">
        <v>1385</v>
      </c>
      <c r="N436" s="2"/>
    </row>
    <row r="437" spans="1:14" ht="14.4">
      <c r="A437" s="42">
        <v>45758</v>
      </c>
      <c r="B437" s="61" t="s">
        <v>1438</v>
      </c>
      <c r="C437" s="39" t="s">
        <v>1439</v>
      </c>
      <c r="D437" s="20" t="s">
        <v>864</v>
      </c>
      <c r="E437" s="54" t="s">
        <v>447</v>
      </c>
      <c r="F437" s="54" t="s">
        <v>25</v>
      </c>
      <c r="G437" s="10" t="s">
        <v>25</v>
      </c>
      <c r="H437" s="39" t="s">
        <v>1440</v>
      </c>
      <c r="I437" s="39"/>
      <c r="J437" s="63">
        <v>1983.5</v>
      </c>
      <c r="K437" s="44"/>
      <c r="L437" s="63">
        <v>1983.5</v>
      </c>
      <c r="M437" s="64" t="s">
        <v>1385</v>
      </c>
      <c r="N437" s="2"/>
    </row>
    <row r="438" spans="1:14" ht="14.4">
      <c r="A438" s="42">
        <v>45758</v>
      </c>
      <c r="B438" s="61" t="s">
        <v>1438</v>
      </c>
      <c r="C438" s="39" t="s">
        <v>1439</v>
      </c>
      <c r="D438" s="20" t="s">
        <v>864</v>
      </c>
      <c r="E438" s="54" t="s">
        <v>447</v>
      </c>
      <c r="F438" s="54" t="s">
        <v>25</v>
      </c>
      <c r="G438" s="10" t="s">
        <v>25</v>
      </c>
      <c r="H438" s="39" t="s">
        <v>1440</v>
      </c>
      <c r="I438" s="39"/>
      <c r="J438" s="63">
        <v>1983.5</v>
      </c>
      <c r="K438" s="44"/>
      <c r="L438" s="63">
        <v>1983.5</v>
      </c>
      <c r="M438" s="64" t="s">
        <v>480</v>
      </c>
      <c r="N438" s="2"/>
    </row>
    <row r="439" spans="1:14" ht="14.4">
      <c r="A439" s="42">
        <v>45758</v>
      </c>
      <c r="B439" s="61" t="s">
        <v>1441</v>
      </c>
      <c r="C439" s="39" t="s">
        <v>1442</v>
      </c>
      <c r="D439" s="20" t="s">
        <v>502</v>
      </c>
      <c r="E439" s="54" t="s">
        <v>447</v>
      </c>
      <c r="F439" s="54" t="s">
        <v>33</v>
      </c>
      <c r="G439" s="54" t="s">
        <v>23</v>
      </c>
      <c r="H439" s="39" t="s">
        <v>722</v>
      </c>
      <c r="I439" s="39" t="s">
        <v>1220</v>
      </c>
      <c r="J439" s="44">
        <v>35</v>
      </c>
      <c r="K439" s="44"/>
      <c r="L439" s="63">
        <v>35</v>
      </c>
      <c r="M439" s="64" t="s">
        <v>1381</v>
      </c>
      <c r="N439" s="2"/>
    </row>
    <row r="440" spans="1:14" ht="14.4">
      <c r="A440" s="42">
        <v>45758</v>
      </c>
      <c r="B440" s="61" t="s">
        <v>1443</v>
      </c>
      <c r="C440" s="39" t="s">
        <v>1444</v>
      </c>
      <c r="D440" s="20" t="s">
        <v>446</v>
      </c>
      <c r="E440" s="54" t="s">
        <v>447</v>
      </c>
      <c r="F440" s="54" t="s">
        <v>22</v>
      </c>
      <c r="G440" s="54" t="s">
        <v>23</v>
      </c>
      <c r="H440" s="39" t="s">
        <v>1445</v>
      </c>
      <c r="I440" s="39" t="s">
        <v>1446</v>
      </c>
      <c r="J440" s="44">
        <v>130</v>
      </c>
      <c r="K440" s="44">
        <f>L440-J440</f>
        <v>165</v>
      </c>
      <c r="L440" s="63">
        <v>295</v>
      </c>
      <c r="M440" s="64" t="s">
        <v>742</v>
      </c>
      <c r="N440" s="2"/>
    </row>
    <row r="441" spans="1:14" ht="14.4">
      <c r="A441" s="42">
        <v>45758</v>
      </c>
      <c r="B441" s="61" t="s">
        <v>1447</v>
      </c>
      <c r="C441" s="39" t="s">
        <v>1448</v>
      </c>
      <c r="D441" s="20" t="s">
        <v>502</v>
      </c>
      <c r="E441" s="54" t="s">
        <v>447</v>
      </c>
      <c r="F441" s="54" t="s">
        <v>33</v>
      </c>
      <c r="G441" s="54" t="s">
        <v>23</v>
      </c>
      <c r="H441" s="39" t="s">
        <v>1116</v>
      </c>
      <c r="I441" s="39" t="s">
        <v>1220</v>
      </c>
      <c r="J441" s="44">
        <v>45</v>
      </c>
      <c r="K441" s="44"/>
      <c r="L441" s="63">
        <v>45</v>
      </c>
      <c r="M441" s="64" t="s">
        <v>1381</v>
      </c>
      <c r="N441" s="2"/>
    </row>
    <row r="442" spans="1:14" ht="14.4">
      <c r="A442" s="42">
        <v>45759</v>
      </c>
      <c r="B442" s="61" t="s">
        <v>1449</v>
      </c>
      <c r="C442" s="39" t="s">
        <v>1450</v>
      </c>
      <c r="D442" s="20" t="s">
        <v>446</v>
      </c>
      <c r="E442" s="54" t="s">
        <v>447</v>
      </c>
      <c r="F442" s="54" t="s">
        <v>33</v>
      </c>
      <c r="G442" s="10" t="s">
        <v>23</v>
      </c>
      <c r="H442" s="39" t="s">
        <v>879</v>
      </c>
      <c r="I442" s="39" t="s">
        <v>1111</v>
      </c>
      <c r="J442" s="44">
        <v>35</v>
      </c>
      <c r="K442" s="44"/>
      <c r="L442" s="63">
        <v>35</v>
      </c>
      <c r="M442" s="64" t="s">
        <v>1381</v>
      </c>
      <c r="N442" s="2"/>
    </row>
    <row r="443" spans="1:14" ht="14.4">
      <c r="A443" s="42">
        <v>45761</v>
      </c>
      <c r="B443" s="61" t="s">
        <v>1451</v>
      </c>
      <c r="C443" s="39" t="s">
        <v>1452</v>
      </c>
      <c r="D443" s="20" t="s">
        <v>1050</v>
      </c>
      <c r="E443" s="54" t="s">
        <v>519</v>
      </c>
      <c r="F443" s="54" t="s">
        <v>40</v>
      </c>
      <c r="G443" s="54" t="s">
        <v>40</v>
      </c>
      <c r="H443" s="39" t="s">
        <v>1406</v>
      </c>
      <c r="I443" s="39"/>
      <c r="J443" s="44">
        <v>622.5</v>
      </c>
      <c r="K443" s="44">
        <v>622.5</v>
      </c>
      <c r="L443" s="63">
        <f>J443+K443</f>
        <v>1245</v>
      </c>
      <c r="M443" s="64" t="s">
        <v>742</v>
      </c>
      <c r="N443" s="2"/>
    </row>
    <row r="444" spans="1:14" ht="14.4">
      <c r="A444" s="42">
        <v>45761</v>
      </c>
      <c r="B444" s="61" t="s">
        <v>1453</v>
      </c>
      <c r="C444" s="39" t="s">
        <v>1454</v>
      </c>
      <c r="D444" s="20" t="s">
        <v>27</v>
      </c>
      <c r="E444" s="54" t="s">
        <v>447</v>
      </c>
      <c r="F444" s="54" t="s">
        <v>27</v>
      </c>
      <c r="G444" s="54" t="s">
        <v>27</v>
      </c>
      <c r="H444" s="39" t="s">
        <v>1424</v>
      </c>
      <c r="I444" s="39"/>
      <c r="J444" s="44">
        <v>320</v>
      </c>
      <c r="K444" s="44"/>
      <c r="L444" s="63">
        <v>320</v>
      </c>
      <c r="M444" s="64" t="s">
        <v>1381</v>
      </c>
      <c r="N444" s="2"/>
    </row>
    <row r="445" spans="1:14" ht="14.4">
      <c r="A445" s="42">
        <v>45761</v>
      </c>
      <c r="B445" s="61" t="s">
        <v>1455</v>
      </c>
      <c r="C445" s="39" t="s">
        <v>1456</v>
      </c>
      <c r="D445" s="20" t="s">
        <v>1035</v>
      </c>
      <c r="E445" s="54" t="s">
        <v>447</v>
      </c>
      <c r="F445" s="54" t="s">
        <v>40</v>
      </c>
      <c r="G445" s="54" t="s">
        <v>40</v>
      </c>
      <c r="H445" s="39" t="s">
        <v>40</v>
      </c>
      <c r="I445" s="39"/>
      <c r="J445" s="44">
        <v>170</v>
      </c>
      <c r="K445" s="44"/>
      <c r="L445" s="63">
        <v>170</v>
      </c>
      <c r="M445" s="64" t="s">
        <v>1381</v>
      </c>
      <c r="N445" s="2"/>
    </row>
    <row r="446" spans="1:14" ht="14.4">
      <c r="A446" s="42">
        <v>45762</v>
      </c>
      <c r="B446" s="61" t="s">
        <v>1457</v>
      </c>
      <c r="C446" s="39" t="s">
        <v>1458</v>
      </c>
      <c r="D446" s="20" t="s">
        <v>446</v>
      </c>
      <c r="E446" s="54" t="s">
        <v>447</v>
      </c>
      <c r="F446" s="54" t="s">
        <v>33</v>
      </c>
      <c r="G446" s="10" t="s">
        <v>23</v>
      </c>
      <c r="H446" s="39" t="s">
        <v>1116</v>
      </c>
      <c r="I446" s="39" t="s">
        <v>1085</v>
      </c>
      <c r="J446" s="44">
        <v>35</v>
      </c>
      <c r="K446" s="44"/>
      <c r="L446" s="63">
        <v>35</v>
      </c>
      <c r="M446" s="64" t="s">
        <v>1381</v>
      </c>
      <c r="N446" s="2"/>
    </row>
    <row r="447" spans="1:14" ht="14.4">
      <c r="A447" s="42">
        <v>45762</v>
      </c>
      <c r="B447" s="61" t="s">
        <v>1459</v>
      </c>
      <c r="C447" s="39" t="s">
        <v>1460</v>
      </c>
      <c r="D447" s="20" t="s">
        <v>280</v>
      </c>
      <c r="E447" s="54" t="s">
        <v>447</v>
      </c>
      <c r="F447" s="54" t="s">
        <v>22</v>
      </c>
      <c r="G447" s="10" t="s">
        <v>23</v>
      </c>
      <c r="H447" s="39" t="s">
        <v>1445</v>
      </c>
      <c r="I447" s="39" t="s">
        <v>1194</v>
      </c>
      <c r="J447" s="44">
        <v>245</v>
      </c>
      <c r="K447" s="44"/>
      <c r="L447" s="63">
        <v>245</v>
      </c>
      <c r="M447" s="64" t="s">
        <v>1381</v>
      </c>
      <c r="N447" s="2"/>
    </row>
    <row r="448" spans="1:14" ht="14.4">
      <c r="A448" s="42">
        <v>45762</v>
      </c>
      <c r="B448" s="61" t="s">
        <v>1461</v>
      </c>
      <c r="C448" s="39" t="s">
        <v>1462</v>
      </c>
      <c r="D448" s="20" t="s">
        <v>985</v>
      </c>
      <c r="E448" s="54" t="s">
        <v>447</v>
      </c>
      <c r="F448" s="54" t="s">
        <v>22</v>
      </c>
      <c r="G448" s="10" t="s">
        <v>23</v>
      </c>
      <c r="H448" s="39" t="s">
        <v>1445</v>
      </c>
      <c r="I448" s="39" t="s">
        <v>1463</v>
      </c>
      <c r="J448" s="44">
        <v>299</v>
      </c>
      <c r="K448" s="44"/>
      <c r="L448" s="63">
        <v>299</v>
      </c>
      <c r="M448" s="64" t="s">
        <v>1381</v>
      </c>
      <c r="N448" s="2"/>
    </row>
    <row r="449" spans="1:14" ht="14.4">
      <c r="A449" s="42">
        <v>45762</v>
      </c>
      <c r="B449" s="61" t="s">
        <v>1416</v>
      </c>
      <c r="C449" s="39" t="s">
        <v>1417</v>
      </c>
      <c r="D449" s="20" t="s">
        <v>1035</v>
      </c>
      <c r="E449" s="54" t="s">
        <v>447</v>
      </c>
      <c r="F449" s="54" t="s">
        <v>40</v>
      </c>
      <c r="G449" s="54" t="s">
        <v>40</v>
      </c>
      <c r="H449" s="39" t="s">
        <v>40</v>
      </c>
      <c r="I449" s="39"/>
      <c r="J449" s="44">
        <v>800</v>
      </c>
      <c r="K449" s="44"/>
      <c r="L449" s="63">
        <v>800</v>
      </c>
      <c r="M449" s="64" t="s">
        <v>1381</v>
      </c>
      <c r="N449" s="2"/>
    </row>
    <row r="450" spans="1:14" ht="14.4">
      <c r="A450" s="42">
        <v>45762</v>
      </c>
      <c r="B450" s="61" t="s">
        <v>1459</v>
      </c>
      <c r="C450" s="39" t="s">
        <v>1464</v>
      </c>
      <c r="D450" s="20" t="s">
        <v>280</v>
      </c>
      <c r="E450" s="54" t="s">
        <v>447</v>
      </c>
      <c r="F450" s="54" t="s">
        <v>22</v>
      </c>
      <c r="G450" s="10" t="s">
        <v>23</v>
      </c>
      <c r="H450" s="39" t="s">
        <v>1445</v>
      </c>
      <c r="I450" s="39" t="s">
        <v>1220</v>
      </c>
      <c r="J450" s="44">
        <v>245</v>
      </c>
      <c r="K450" s="44"/>
      <c r="L450" s="63">
        <v>245</v>
      </c>
      <c r="M450" s="64" t="s">
        <v>1381</v>
      </c>
      <c r="N450" s="2"/>
    </row>
    <row r="451" spans="1:14" ht="14.4">
      <c r="A451" s="42">
        <v>45762</v>
      </c>
      <c r="B451" s="61" t="s">
        <v>1465</v>
      </c>
      <c r="C451" s="39" t="s">
        <v>1466</v>
      </c>
      <c r="D451" s="20" t="s">
        <v>985</v>
      </c>
      <c r="E451" s="54" t="s">
        <v>447</v>
      </c>
      <c r="F451" s="54" t="s">
        <v>22</v>
      </c>
      <c r="G451" s="10" t="s">
        <v>23</v>
      </c>
      <c r="H451" s="39" t="s">
        <v>1445</v>
      </c>
      <c r="I451" s="39" t="s">
        <v>1073</v>
      </c>
      <c r="J451" s="44">
        <v>390</v>
      </c>
      <c r="K451" s="44"/>
      <c r="L451" s="63">
        <v>390</v>
      </c>
      <c r="M451" s="64" t="s">
        <v>1381</v>
      </c>
      <c r="N451" s="2"/>
    </row>
    <row r="452" spans="1:14" ht="14.4">
      <c r="A452" s="158">
        <v>45762</v>
      </c>
      <c r="B452" s="143" t="s">
        <v>1467</v>
      </c>
      <c r="C452" s="144" t="s">
        <v>1468</v>
      </c>
      <c r="D452" s="140" t="s">
        <v>1035</v>
      </c>
      <c r="E452" s="145" t="s">
        <v>447</v>
      </c>
      <c r="F452" s="54" t="s">
        <v>40</v>
      </c>
      <c r="G452" s="54" t="s">
        <v>40</v>
      </c>
      <c r="H452" s="144" t="s">
        <v>1167</v>
      </c>
      <c r="I452" s="39"/>
      <c r="J452" s="44">
        <v>160</v>
      </c>
      <c r="K452" s="44"/>
      <c r="L452" s="63">
        <v>160</v>
      </c>
      <c r="M452" s="64" t="s">
        <v>645</v>
      </c>
      <c r="N452" s="2"/>
    </row>
    <row r="453" spans="1:14" ht="14.4">
      <c r="A453" s="158">
        <v>45762</v>
      </c>
      <c r="B453" s="143" t="s">
        <v>1467</v>
      </c>
      <c r="C453" s="144" t="s">
        <v>1469</v>
      </c>
      <c r="D453" s="140" t="s">
        <v>1035</v>
      </c>
      <c r="E453" s="145" t="s">
        <v>447</v>
      </c>
      <c r="F453" s="54" t="s">
        <v>40</v>
      </c>
      <c r="G453" s="54" t="s">
        <v>40</v>
      </c>
      <c r="H453" s="144" t="s">
        <v>1167</v>
      </c>
      <c r="I453" s="39"/>
      <c r="J453" s="44">
        <v>938.5</v>
      </c>
      <c r="K453" s="44"/>
      <c r="L453" s="63">
        <v>938.5</v>
      </c>
      <c r="M453" s="64" t="s">
        <v>645</v>
      </c>
      <c r="N453" s="2"/>
    </row>
    <row r="454" spans="1:14" ht="14.4">
      <c r="A454" s="42" t="s">
        <v>1470</v>
      </c>
      <c r="B454" s="61" t="s">
        <v>1471</v>
      </c>
      <c r="C454" s="39" t="s">
        <v>1472</v>
      </c>
      <c r="D454" s="20" t="s">
        <v>502</v>
      </c>
      <c r="E454" s="54" t="s">
        <v>519</v>
      </c>
      <c r="F454" s="54" t="s">
        <v>33</v>
      </c>
      <c r="G454" s="10" t="s">
        <v>23</v>
      </c>
      <c r="H454" s="39" t="s">
        <v>886</v>
      </c>
      <c r="I454" s="39" t="s">
        <v>1220</v>
      </c>
      <c r="J454" s="44">
        <v>35</v>
      </c>
      <c r="K454" s="44"/>
      <c r="L454" s="63">
        <v>35</v>
      </c>
      <c r="M454" s="64" t="s">
        <v>742</v>
      </c>
      <c r="N454" s="2"/>
    </row>
    <row r="455" spans="1:14" ht="14.4">
      <c r="A455" s="42" t="s">
        <v>1470</v>
      </c>
      <c r="B455" s="61" t="s">
        <v>1473</v>
      </c>
      <c r="C455" s="39" t="s">
        <v>1474</v>
      </c>
      <c r="D455" s="20" t="s">
        <v>985</v>
      </c>
      <c r="E455" s="54" t="s">
        <v>447</v>
      </c>
      <c r="F455" s="54" t="s">
        <v>22</v>
      </c>
      <c r="G455" s="10" t="s">
        <v>23</v>
      </c>
      <c r="H455" s="39" t="s">
        <v>1030</v>
      </c>
      <c r="I455" s="39" t="s">
        <v>1475</v>
      </c>
      <c r="J455" s="44">
        <v>345</v>
      </c>
      <c r="K455" s="44">
        <v>345</v>
      </c>
      <c r="L455" s="63">
        <v>690</v>
      </c>
      <c r="M455" s="64" t="s">
        <v>742</v>
      </c>
      <c r="N455" s="2"/>
    </row>
    <row r="456" spans="1:14" ht="14.4">
      <c r="A456" s="42" t="s">
        <v>1470</v>
      </c>
      <c r="B456" s="61" t="s">
        <v>1476</v>
      </c>
      <c r="C456" s="39" t="s">
        <v>1180</v>
      </c>
      <c r="D456" s="20" t="s">
        <v>864</v>
      </c>
      <c r="E456" s="54" t="s">
        <v>447</v>
      </c>
      <c r="F456" s="54" t="s">
        <v>25</v>
      </c>
      <c r="G456" s="10" t="s">
        <v>25</v>
      </c>
      <c r="H456" s="39" t="s">
        <v>1477</v>
      </c>
      <c r="I456" s="39"/>
      <c r="J456" s="44">
        <v>700</v>
      </c>
      <c r="K456" s="44"/>
      <c r="L456" s="63">
        <v>700</v>
      </c>
      <c r="M456" s="64" t="s">
        <v>1381</v>
      </c>
      <c r="N456" s="2"/>
    </row>
    <row r="457" spans="1:14" ht="14.4">
      <c r="A457" s="42" t="s">
        <v>1470</v>
      </c>
      <c r="B457" s="61" t="s">
        <v>1478</v>
      </c>
      <c r="C457" s="39" t="s">
        <v>1479</v>
      </c>
      <c r="D457" s="20" t="s">
        <v>864</v>
      </c>
      <c r="E457" s="54" t="s">
        <v>447</v>
      </c>
      <c r="F457" s="54" t="s">
        <v>25</v>
      </c>
      <c r="G457" s="10" t="s">
        <v>25</v>
      </c>
      <c r="H457" s="39" t="s">
        <v>1099</v>
      </c>
      <c r="I457" s="39"/>
      <c r="J457" s="44">
        <v>4500</v>
      </c>
      <c r="K457" s="44"/>
      <c r="L457" s="63">
        <v>4500</v>
      </c>
      <c r="M457" s="64" t="s">
        <v>1381</v>
      </c>
      <c r="N457" s="2"/>
    </row>
    <row r="458" spans="1:14" ht="14.4">
      <c r="A458" s="42" t="s">
        <v>1470</v>
      </c>
      <c r="B458" s="61" t="s">
        <v>1476</v>
      </c>
      <c r="C458" s="39" t="s">
        <v>1180</v>
      </c>
      <c r="D458" s="20" t="s">
        <v>864</v>
      </c>
      <c r="E458" s="54" t="s">
        <v>447</v>
      </c>
      <c r="F458" s="54" t="s">
        <v>25</v>
      </c>
      <c r="G458" s="10" t="s">
        <v>25</v>
      </c>
      <c r="H458" s="39" t="s">
        <v>1434</v>
      </c>
      <c r="I458" s="39"/>
      <c r="J458" s="44">
        <v>700</v>
      </c>
      <c r="K458" s="44"/>
      <c r="L458" s="63">
        <v>700</v>
      </c>
      <c r="M458" s="64" t="s">
        <v>742</v>
      </c>
      <c r="N458" s="2"/>
    </row>
    <row r="459" spans="1:14" ht="14.4">
      <c r="A459" s="42" t="s">
        <v>1470</v>
      </c>
      <c r="B459" s="61" t="s">
        <v>1467</v>
      </c>
      <c r="C459" s="39" t="s">
        <v>1468</v>
      </c>
      <c r="D459" s="20" t="s">
        <v>1033</v>
      </c>
      <c r="E459" s="54" t="s">
        <v>447</v>
      </c>
      <c r="F459" s="54" t="s">
        <v>40</v>
      </c>
      <c r="G459" s="54" t="s">
        <v>40</v>
      </c>
      <c r="H459" s="39" t="s">
        <v>1167</v>
      </c>
      <c r="I459" s="39"/>
      <c r="J459" s="44">
        <v>938.5</v>
      </c>
      <c r="K459" s="44"/>
      <c r="L459" s="63">
        <v>938.5</v>
      </c>
      <c r="M459" s="64" t="s">
        <v>645</v>
      </c>
      <c r="N459" s="2"/>
    </row>
    <row r="460" spans="1:14" ht="14.4">
      <c r="A460" s="42">
        <v>45763</v>
      </c>
      <c r="B460" s="61" t="s">
        <v>1480</v>
      </c>
      <c r="C460" s="39" t="s">
        <v>1481</v>
      </c>
      <c r="D460" s="20" t="s">
        <v>974</v>
      </c>
      <c r="E460" s="54" t="s">
        <v>447</v>
      </c>
      <c r="F460" s="54" t="s">
        <v>40</v>
      </c>
      <c r="G460" s="54" t="s">
        <v>40</v>
      </c>
      <c r="H460" s="39" t="s">
        <v>1393</v>
      </c>
      <c r="I460" s="39"/>
      <c r="J460" s="44">
        <v>80</v>
      </c>
      <c r="K460" s="44"/>
      <c r="L460" s="63">
        <v>80</v>
      </c>
      <c r="M460" s="64" t="s">
        <v>1385</v>
      </c>
      <c r="N460" s="2"/>
    </row>
    <row r="461" spans="1:14" ht="14.4">
      <c r="A461" s="42">
        <v>45763</v>
      </c>
      <c r="B461" s="61" t="s">
        <v>1482</v>
      </c>
      <c r="C461" s="39" t="s">
        <v>1483</v>
      </c>
      <c r="D461" s="20" t="s">
        <v>280</v>
      </c>
      <c r="E461" s="54" t="s">
        <v>447</v>
      </c>
      <c r="F461" s="54" t="s">
        <v>22</v>
      </c>
      <c r="G461" s="10" t="s">
        <v>23</v>
      </c>
      <c r="H461" s="39" t="s">
        <v>1484</v>
      </c>
      <c r="I461" s="39"/>
      <c r="J461" s="44">
        <v>150</v>
      </c>
      <c r="K461" s="44"/>
      <c r="L461" s="63">
        <v>300</v>
      </c>
      <c r="M461" s="64" t="s">
        <v>1385</v>
      </c>
      <c r="N461" s="2"/>
    </row>
    <row r="462" spans="1:14" ht="14.4">
      <c r="A462" s="42" t="s">
        <v>1485</v>
      </c>
      <c r="B462" s="61" t="s">
        <v>1486</v>
      </c>
      <c r="C462" s="39" t="s">
        <v>1487</v>
      </c>
      <c r="D462" s="20" t="s">
        <v>280</v>
      </c>
      <c r="E462" s="54" t="s">
        <v>447</v>
      </c>
      <c r="F462" s="54" t="s">
        <v>33</v>
      </c>
      <c r="G462" s="10" t="s">
        <v>23</v>
      </c>
      <c r="H462" s="39" t="s">
        <v>919</v>
      </c>
      <c r="I462" s="39" t="s">
        <v>1091</v>
      </c>
      <c r="J462" s="44">
        <v>55</v>
      </c>
      <c r="K462" s="44"/>
      <c r="L462" s="63">
        <v>55</v>
      </c>
      <c r="M462" s="64" t="s">
        <v>742</v>
      </c>
      <c r="N462" s="2"/>
    </row>
    <row r="463" spans="1:14" ht="14.4">
      <c r="A463" s="42">
        <v>45766</v>
      </c>
      <c r="B463" s="61" t="s">
        <v>1476</v>
      </c>
      <c r="C463" s="39" t="s">
        <v>1180</v>
      </c>
      <c r="D463" s="20" t="s">
        <v>864</v>
      </c>
      <c r="E463" s="54" t="s">
        <v>447</v>
      </c>
      <c r="F463" s="54" t="s">
        <v>25</v>
      </c>
      <c r="G463" s="10" t="s">
        <v>25</v>
      </c>
      <c r="H463" s="39" t="s">
        <v>1488</v>
      </c>
      <c r="I463" s="39"/>
      <c r="J463" s="44">
        <v>1180</v>
      </c>
      <c r="K463" s="44"/>
      <c r="L463" s="63">
        <v>1180</v>
      </c>
      <c r="M463" s="64" t="s">
        <v>480</v>
      </c>
      <c r="N463" s="2"/>
    </row>
    <row r="464" spans="1:14" ht="14.4">
      <c r="A464" s="42">
        <v>45766</v>
      </c>
      <c r="B464" s="61" t="s">
        <v>1489</v>
      </c>
      <c r="C464" s="39" t="s">
        <v>1490</v>
      </c>
      <c r="D464" s="20" t="s">
        <v>1050</v>
      </c>
      <c r="E464" s="54" t="s">
        <v>447</v>
      </c>
      <c r="F464" s="54" t="s">
        <v>40</v>
      </c>
      <c r="G464" s="54" t="s">
        <v>40</v>
      </c>
      <c r="H464" s="39" t="s">
        <v>1491</v>
      </c>
      <c r="I464" s="39"/>
      <c r="J464" s="19">
        <v>380</v>
      </c>
      <c r="K464" s="44"/>
      <c r="L464" s="63">
        <v>380</v>
      </c>
      <c r="M464" s="64" t="s">
        <v>742</v>
      </c>
      <c r="N464" s="2"/>
    </row>
    <row r="465" spans="1:14" ht="14.4">
      <c r="A465" s="42">
        <v>45766</v>
      </c>
      <c r="B465" s="61" t="s">
        <v>1492</v>
      </c>
      <c r="C465" s="39" t="s">
        <v>1493</v>
      </c>
      <c r="D465" s="20" t="s">
        <v>974</v>
      </c>
      <c r="E465" s="54" t="s">
        <v>447</v>
      </c>
      <c r="F465" s="54" t="s">
        <v>40</v>
      </c>
      <c r="G465" s="54" t="s">
        <v>40</v>
      </c>
      <c r="H465" s="39" t="s">
        <v>1494</v>
      </c>
      <c r="I465" s="39"/>
      <c r="J465" s="44">
        <v>40</v>
      </c>
      <c r="K465" s="44"/>
      <c r="L465" s="63">
        <v>40</v>
      </c>
      <c r="M465" s="64" t="s">
        <v>1385</v>
      </c>
      <c r="N465" s="2"/>
    </row>
    <row r="466" spans="1:14" ht="14.4">
      <c r="A466" s="42">
        <v>45766</v>
      </c>
      <c r="B466" s="159" t="s">
        <v>1495</v>
      </c>
      <c r="C466" s="19" t="s">
        <v>1496</v>
      </c>
      <c r="D466" s="20" t="s">
        <v>974</v>
      </c>
      <c r="E466" s="54" t="s">
        <v>447</v>
      </c>
      <c r="F466" s="54" t="s">
        <v>40</v>
      </c>
      <c r="G466" s="54" t="s">
        <v>40</v>
      </c>
      <c r="H466" s="39" t="s">
        <v>1494</v>
      </c>
      <c r="I466" s="39"/>
      <c r="J466" s="44">
        <v>80</v>
      </c>
      <c r="L466" s="63">
        <v>80</v>
      </c>
      <c r="M466" s="64" t="s">
        <v>1385</v>
      </c>
      <c r="N466" s="2"/>
    </row>
    <row r="467" spans="1:14" ht="14.4">
      <c r="A467" s="42">
        <v>45768</v>
      </c>
      <c r="B467" s="61" t="s">
        <v>1497</v>
      </c>
      <c r="C467" s="39" t="s">
        <v>1498</v>
      </c>
      <c r="D467" s="20" t="s">
        <v>1050</v>
      </c>
      <c r="E467" s="54" t="s">
        <v>447</v>
      </c>
      <c r="F467" s="54" t="s">
        <v>40</v>
      </c>
      <c r="G467" s="54" t="s">
        <v>40</v>
      </c>
      <c r="H467" s="39" t="s">
        <v>672</v>
      </c>
      <c r="I467" s="39"/>
      <c r="J467" s="44">
        <v>550</v>
      </c>
      <c r="K467" s="44"/>
      <c r="L467" s="63">
        <v>550</v>
      </c>
      <c r="M467" s="64" t="s">
        <v>742</v>
      </c>
      <c r="N467" s="2"/>
    </row>
    <row r="468" spans="1:14" ht="14.4">
      <c r="A468" s="42">
        <v>45768</v>
      </c>
      <c r="B468" s="61" t="s">
        <v>843</v>
      </c>
      <c r="C468" s="39" t="s">
        <v>1499</v>
      </c>
      <c r="D468" s="20" t="s">
        <v>280</v>
      </c>
      <c r="E468" s="54" t="s">
        <v>447</v>
      </c>
      <c r="F468" s="54" t="s">
        <v>33</v>
      </c>
      <c r="G468" s="10" t="s">
        <v>23</v>
      </c>
      <c r="H468" s="39" t="s">
        <v>869</v>
      </c>
      <c r="I468" s="39" t="s">
        <v>1091</v>
      </c>
      <c r="J468" s="44">
        <v>60</v>
      </c>
      <c r="K468" s="44"/>
      <c r="L468" s="63">
        <v>60</v>
      </c>
      <c r="M468" s="64" t="s">
        <v>1381</v>
      </c>
      <c r="N468" s="2"/>
    </row>
    <row r="469" spans="1:14" ht="14.4">
      <c r="A469" s="42">
        <v>45768</v>
      </c>
      <c r="B469" s="61" t="s">
        <v>1500</v>
      </c>
      <c r="C469" s="39" t="s">
        <v>1501</v>
      </c>
      <c r="D469" s="20" t="s">
        <v>1033</v>
      </c>
      <c r="E469" s="54" t="s">
        <v>447</v>
      </c>
      <c r="F469" s="54" t="s">
        <v>40</v>
      </c>
      <c r="G469" s="54" t="s">
        <v>40</v>
      </c>
      <c r="H469" s="39" t="s">
        <v>1371</v>
      </c>
      <c r="I469" s="39"/>
      <c r="J469" s="44">
        <v>140</v>
      </c>
      <c r="K469" s="44"/>
      <c r="L469" s="63">
        <v>140</v>
      </c>
      <c r="M469" s="64" t="s">
        <v>1381</v>
      </c>
      <c r="N469" s="2"/>
    </row>
    <row r="470" spans="1:14" ht="14.4">
      <c r="A470" s="42">
        <v>45768</v>
      </c>
      <c r="B470" s="61" t="s">
        <v>1502</v>
      </c>
      <c r="C470" s="39" t="s">
        <v>1503</v>
      </c>
      <c r="D470" s="20" t="s">
        <v>280</v>
      </c>
      <c r="E470" s="54" t="s">
        <v>447</v>
      </c>
      <c r="F470" s="54" t="s">
        <v>33</v>
      </c>
      <c r="G470" s="10" t="s">
        <v>23</v>
      </c>
      <c r="H470" s="39" t="s">
        <v>847</v>
      </c>
      <c r="I470" s="39" t="s">
        <v>1220</v>
      </c>
      <c r="J470" s="44">
        <v>125</v>
      </c>
      <c r="K470" s="44">
        <v>125</v>
      </c>
      <c r="L470" s="63">
        <v>250</v>
      </c>
      <c r="M470" s="64" t="s">
        <v>742</v>
      </c>
      <c r="N470" s="2"/>
    </row>
    <row r="471" spans="1:14" ht="14.4">
      <c r="A471" s="42">
        <v>45769</v>
      </c>
      <c r="B471" s="61" t="s">
        <v>1504</v>
      </c>
      <c r="C471" s="39" t="s">
        <v>1505</v>
      </c>
      <c r="D471" s="20" t="s">
        <v>27</v>
      </c>
      <c r="E471" s="54" t="s">
        <v>447</v>
      </c>
      <c r="F471" s="54" t="s">
        <v>27</v>
      </c>
      <c r="G471" s="54" t="s">
        <v>27</v>
      </c>
      <c r="H471" s="39" t="s">
        <v>783</v>
      </c>
      <c r="I471" s="39"/>
      <c r="J471" s="44">
        <v>390</v>
      </c>
      <c r="K471" s="44"/>
      <c r="L471" s="63">
        <v>390</v>
      </c>
      <c r="M471" s="64" t="s">
        <v>742</v>
      </c>
      <c r="N471" s="2"/>
    </row>
    <row r="472" spans="1:14" ht="14.4">
      <c r="A472" s="42">
        <v>45769</v>
      </c>
      <c r="B472" s="61" t="s">
        <v>1506</v>
      </c>
      <c r="C472" s="39" t="s">
        <v>1507</v>
      </c>
      <c r="D472" s="20" t="s">
        <v>502</v>
      </c>
      <c r="E472" s="54" t="s">
        <v>519</v>
      </c>
      <c r="F472" s="54" t="s">
        <v>33</v>
      </c>
      <c r="G472" s="10" t="s">
        <v>23</v>
      </c>
      <c r="H472" s="39" t="s">
        <v>886</v>
      </c>
      <c r="I472" s="39" t="s">
        <v>1446</v>
      </c>
      <c r="J472" s="44">
        <v>65</v>
      </c>
      <c r="K472" s="44"/>
      <c r="L472" s="63">
        <v>65</v>
      </c>
      <c r="M472" s="64" t="s">
        <v>742</v>
      </c>
      <c r="N472" s="2"/>
    </row>
    <row r="473" spans="1:14" ht="14.4">
      <c r="A473" s="42">
        <v>45769</v>
      </c>
      <c r="B473" s="61" t="s">
        <v>1508</v>
      </c>
      <c r="C473" s="39" t="s">
        <v>1509</v>
      </c>
      <c r="D473" s="20" t="s">
        <v>1033</v>
      </c>
      <c r="E473" s="54" t="s">
        <v>447</v>
      </c>
      <c r="F473" s="54" t="s">
        <v>40</v>
      </c>
      <c r="G473" s="54" t="s">
        <v>40</v>
      </c>
      <c r="H473" s="39" t="s">
        <v>1393</v>
      </c>
      <c r="I473" s="39"/>
      <c r="J473" s="44">
        <v>221.86</v>
      </c>
      <c r="K473" s="44"/>
      <c r="L473" s="63">
        <v>221.86</v>
      </c>
      <c r="M473" s="64" t="s">
        <v>1381</v>
      </c>
      <c r="N473" s="2"/>
    </row>
    <row r="474" spans="1:14" ht="14.4">
      <c r="A474" s="42">
        <v>45769</v>
      </c>
      <c r="B474" s="61" t="s">
        <v>1510</v>
      </c>
      <c r="C474" s="39" t="s">
        <v>1511</v>
      </c>
      <c r="D474" s="20" t="s">
        <v>27</v>
      </c>
      <c r="E474" s="54" t="s">
        <v>447</v>
      </c>
      <c r="F474" s="54" t="s">
        <v>27</v>
      </c>
      <c r="G474" s="54" t="s">
        <v>27</v>
      </c>
      <c r="H474" s="39" t="s">
        <v>1424</v>
      </c>
      <c r="I474" s="39"/>
      <c r="J474" s="44">
        <v>230</v>
      </c>
      <c r="K474" s="44"/>
      <c r="L474" s="63">
        <v>230</v>
      </c>
      <c r="M474" s="64" t="s">
        <v>1381</v>
      </c>
      <c r="N474" s="2"/>
    </row>
    <row r="475" spans="1:14" ht="14.4">
      <c r="A475" s="42">
        <v>45770</v>
      </c>
      <c r="B475" s="61" t="s">
        <v>1508</v>
      </c>
      <c r="C475" s="39" t="s">
        <v>1512</v>
      </c>
      <c r="D475" s="20" t="s">
        <v>1033</v>
      </c>
      <c r="E475" s="54" t="s">
        <v>447</v>
      </c>
      <c r="F475" s="54" t="s">
        <v>40</v>
      </c>
      <c r="G475" s="54" t="s">
        <v>40</v>
      </c>
      <c r="H475" s="39" t="s">
        <v>1393</v>
      </c>
      <c r="I475" s="39"/>
      <c r="J475" s="44">
        <v>221.86</v>
      </c>
      <c r="K475" s="44"/>
      <c r="L475" s="63">
        <v>221.86</v>
      </c>
      <c r="M475" s="64" t="s">
        <v>480</v>
      </c>
      <c r="N475" s="2"/>
    </row>
    <row r="476" spans="1:14" ht="14.4">
      <c r="A476" s="42">
        <v>45770</v>
      </c>
      <c r="B476" s="61" t="s">
        <v>1513</v>
      </c>
      <c r="C476" s="39" t="s">
        <v>1514</v>
      </c>
      <c r="D476" s="20" t="s">
        <v>1033</v>
      </c>
      <c r="E476" s="54" t="s">
        <v>447</v>
      </c>
      <c r="F476" s="54" t="s">
        <v>40</v>
      </c>
      <c r="G476" s="54" t="s">
        <v>40</v>
      </c>
      <c r="H476" s="39" t="s">
        <v>1393</v>
      </c>
      <c r="I476" s="39"/>
      <c r="J476" s="44">
        <v>222</v>
      </c>
      <c r="K476" s="44"/>
      <c r="L476" s="63">
        <v>222</v>
      </c>
      <c r="M476" s="64" t="s">
        <v>742</v>
      </c>
      <c r="N476" s="2"/>
    </row>
    <row r="477" spans="1:14" ht="14.4">
      <c r="A477" s="42">
        <v>45770</v>
      </c>
      <c r="B477" s="61" t="s">
        <v>1508</v>
      </c>
      <c r="C477" s="39" t="s">
        <v>1515</v>
      </c>
      <c r="D477" s="20" t="s">
        <v>1033</v>
      </c>
      <c r="E477" s="54" t="s">
        <v>447</v>
      </c>
      <c r="F477" s="54" t="s">
        <v>40</v>
      </c>
      <c r="G477" s="54" t="s">
        <v>40</v>
      </c>
      <c r="H477" s="39" t="s">
        <v>1393</v>
      </c>
      <c r="I477" s="39"/>
      <c r="J477" s="44">
        <v>221.86</v>
      </c>
      <c r="K477" s="44"/>
      <c r="L477" s="63">
        <v>221.86</v>
      </c>
      <c r="M477" s="64" t="s">
        <v>480</v>
      </c>
      <c r="N477" s="2"/>
    </row>
    <row r="478" spans="1:14" ht="14.4">
      <c r="A478" s="42">
        <v>45770</v>
      </c>
      <c r="B478" s="61" t="s">
        <v>1510</v>
      </c>
      <c r="C478" s="39" t="s">
        <v>1511</v>
      </c>
      <c r="D478" s="20" t="s">
        <v>27</v>
      </c>
      <c r="E478" s="54" t="s">
        <v>447</v>
      </c>
      <c r="F478" s="54" t="s">
        <v>27</v>
      </c>
      <c r="G478" s="54" t="s">
        <v>27</v>
      </c>
      <c r="H478" s="39" t="s">
        <v>1516</v>
      </c>
      <c r="I478" s="39"/>
      <c r="J478" s="44">
        <v>200</v>
      </c>
      <c r="K478" s="44"/>
      <c r="L478" s="63">
        <v>200</v>
      </c>
      <c r="M478" s="64" t="s">
        <v>1381</v>
      </c>
      <c r="N478" s="2"/>
    </row>
    <row r="479" spans="1:14" ht="14.4">
      <c r="A479" s="42">
        <v>45770</v>
      </c>
      <c r="B479" s="61" t="s">
        <v>1517</v>
      </c>
      <c r="C479" s="39" t="s">
        <v>1518</v>
      </c>
      <c r="D479" s="20" t="s">
        <v>280</v>
      </c>
      <c r="E479" s="54" t="s">
        <v>447</v>
      </c>
      <c r="F479" s="54" t="s">
        <v>22</v>
      </c>
      <c r="G479" s="10" t="s">
        <v>23</v>
      </c>
      <c r="H479" s="39" t="s">
        <v>1519</v>
      </c>
      <c r="I479" s="39" t="s">
        <v>1085</v>
      </c>
      <c r="J479" s="63">
        <v>430</v>
      </c>
      <c r="K479" s="44"/>
      <c r="L479" s="63">
        <v>430</v>
      </c>
      <c r="M479" s="64" t="s">
        <v>1381</v>
      </c>
      <c r="N479" s="2"/>
    </row>
    <row r="480" spans="1:14" ht="14.4">
      <c r="A480" s="42">
        <v>45770</v>
      </c>
      <c r="B480" s="61" t="s">
        <v>1520</v>
      </c>
      <c r="C480" s="39" t="s">
        <v>1521</v>
      </c>
      <c r="D480" s="20" t="s">
        <v>1033</v>
      </c>
      <c r="E480" s="54" t="s">
        <v>447</v>
      </c>
      <c r="F480" s="54" t="s">
        <v>40</v>
      </c>
      <c r="G480" s="54" t="s">
        <v>40</v>
      </c>
      <c r="H480" s="39" t="s">
        <v>1431</v>
      </c>
      <c r="I480" s="39"/>
      <c r="J480" s="44">
        <v>120</v>
      </c>
      <c r="K480" s="44"/>
      <c r="L480" s="63">
        <v>120</v>
      </c>
      <c r="M480" s="64" t="s">
        <v>1381</v>
      </c>
      <c r="N480" s="2"/>
    </row>
    <row r="481" spans="1:14" ht="14.4">
      <c r="A481" s="42">
        <v>45770</v>
      </c>
      <c r="B481" s="61" t="s">
        <v>1522</v>
      </c>
      <c r="C481" s="39" t="s">
        <v>1523</v>
      </c>
      <c r="D481" s="20" t="s">
        <v>1033</v>
      </c>
      <c r="E481" s="54" t="s">
        <v>447</v>
      </c>
      <c r="F481" s="54" t="s">
        <v>40</v>
      </c>
      <c r="G481" s="54" t="s">
        <v>40</v>
      </c>
      <c r="H481" s="39" t="s">
        <v>1167</v>
      </c>
      <c r="I481" s="39"/>
      <c r="J481" s="44">
        <v>553.5</v>
      </c>
      <c r="K481" s="44"/>
      <c r="L481" s="63">
        <v>1107</v>
      </c>
      <c r="M481" s="64" t="s">
        <v>1381</v>
      </c>
      <c r="N481" s="2"/>
    </row>
    <row r="482" spans="1:14" ht="14.4">
      <c r="A482" s="42">
        <v>45771</v>
      </c>
      <c r="B482" s="61" t="s">
        <v>1524</v>
      </c>
      <c r="C482" s="39" t="s">
        <v>1525</v>
      </c>
      <c r="D482" s="20" t="s">
        <v>446</v>
      </c>
      <c r="E482" s="54" t="s">
        <v>447</v>
      </c>
      <c r="F482" s="54" t="s">
        <v>33</v>
      </c>
      <c r="G482" s="10" t="s">
        <v>23</v>
      </c>
      <c r="H482" s="39" t="s">
        <v>1526</v>
      </c>
      <c r="I482" s="39" t="s">
        <v>1091</v>
      </c>
      <c r="J482" s="44">
        <v>207.5</v>
      </c>
      <c r="K482" s="44">
        <v>407.5</v>
      </c>
      <c r="L482" s="63">
        <v>615</v>
      </c>
      <c r="M482" s="64" t="s">
        <v>742</v>
      </c>
      <c r="N482" s="2"/>
    </row>
    <row r="483" spans="1:14" ht="14.4">
      <c r="A483" s="42">
        <v>45771</v>
      </c>
      <c r="B483" s="61" t="s">
        <v>1527</v>
      </c>
      <c r="C483" s="39" t="s">
        <v>1528</v>
      </c>
      <c r="D483" s="20" t="s">
        <v>992</v>
      </c>
      <c r="E483" s="54" t="s">
        <v>519</v>
      </c>
      <c r="F483" s="54" t="s">
        <v>56</v>
      </c>
      <c r="G483" s="54" t="s">
        <v>56</v>
      </c>
      <c r="H483" s="39" t="s">
        <v>1529</v>
      </c>
      <c r="I483" s="39"/>
      <c r="J483" s="44">
        <v>390</v>
      </c>
      <c r="K483" s="44"/>
      <c r="L483" s="63">
        <v>390</v>
      </c>
      <c r="M483" s="64" t="s">
        <v>742</v>
      </c>
      <c r="N483" s="2"/>
    </row>
    <row r="484" spans="1:14" ht="14.4">
      <c r="A484" s="42">
        <v>45771</v>
      </c>
      <c r="B484" s="61" t="s">
        <v>1530</v>
      </c>
      <c r="C484" s="39" t="s">
        <v>1468</v>
      </c>
      <c r="D484" s="20" t="s">
        <v>1035</v>
      </c>
      <c r="E484" s="54" t="s">
        <v>519</v>
      </c>
      <c r="F484" s="54" t="s">
        <v>40</v>
      </c>
      <c r="G484" s="54" t="s">
        <v>40</v>
      </c>
      <c r="H484" s="39" t="s">
        <v>40</v>
      </c>
      <c r="I484" s="39"/>
      <c r="J484" s="44">
        <v>938.5</v>
      </c>
      <c r="K484" s="44"/>
      <c r="L484" s="63">
        <v>938.5</v>
      </c>
      <c r="M484" s="64" t="s">
        <v>645</v>
      </c>
      <c r="N484" s="2"/>
    </row>
    <row r="485" spans="1:14" ht="14.4">
      <c r="A485" s="42">
        <v>45771</v>
      </c>
      <c r="B485" s="61" t="s">
        <v>1531</v>
      </c>
      <c r="C485" s="39" t="s">
        <v>1532</v>
      </c>
      <c r="D485" s="20" t="s">
        <v>1035</v>
      </c>
      <c r="E485" s="54" t="s">
        <v>447</v>
      </c>
      <c r="F485" s="54" t="s">
        <v>40</v>
      </c>
      <c r="G485" s="54" t="s">
        <v>40</v>
      </c>
      <c r="H485" s="39" t="s">
        <v>40</v>
      </c>
      <c r="I485" s="39"/>
      <c r="J485" s="44">
        <v>600</v>
      </c>
      <c r="K485" s="44"/>
      <c r="L485" s="63">
        <v>600</v>
      </c>
      <c r="M485" s="64" t="s">
        <v>645</v>
      </c>
      <c r="N485" s="2"/>
    </row>
    <row r="486" spans="1:14" ht="14.4">
      <c r="A486" s="42">
        <v>45771</v>
      </c>
      <c r="B486" s="61" t="s">
        <v>1533</v>
      </c>
      <c r="C486" s="39" t="s">
        <v>1534</v>
      </c>
      <c r="D486" s="20" t="s">
        <v>502</v>
      </c>
      <c r="E486" s="54" t="s">
        <v>519</v>
      </c>
      <c r="F486" s="54" t="s">
        <v>33</v>
      </c>
      <c r="G486" s="10" t="s">
        <v>23</v>
      </c>
      <c r="H486" s="39" t="s">
        <v>886</v>
      </c>
      <c r="I486" s="39" t="s">
        <v>1535</v>
      </c>
      <c r="J486" s="44">
        <v>60</v>
      </c>
      <c r="K486" s="44"/>
      <c r="L486" s="63">
        <v>60</v>
      </c>
      <c r="M486" s="64" t="s">
        <v>742</v>
      </c>
      <c r="N486" s="2"/>
    </row>
    <row r="487" spans="1:14" ht="14.4">
      <c r="A487" s="42">
        <v>45772</v>
      </c>
      <c r="B487" s="61" t="s">
        <v>1536</v>
      </c>
      <c r="C487" s="39" t="s">
        <v>1537</v>
      </c>
      <c r="D487" s="20" t="s">
        <v>280</v>
      </c>
      <c r="E487" s="54" t="s">
        <v>447</v>
      </c>
      <c r="F487" s="54" t="s">
        <v>35</v>
      </c>
      <c r="G487" s="10" t="s">
        <v>23</v>
      </c>
      <c r="H487" s="39" t="s">
        <v>1277</v>
      </c>
      <c r="I487" s="39" t="s">
        <v>1173</v>
      </c>
      <c r="J487" s="44">
        <v>749</v>
      </c>
      <c r="K487" s="44"/>
      <c r="L487" s="63">
        <v>749</v>
      </c>
      <c r="M487" s="64" t="s">
        <v>1381</v>
      </c>
      <c r="N487" s="2"/>
    </row>
    <row r="488" spans="1:14" ht="14.4">
      <c r="A488" s="42">
        <v>45772</v>
      </c>
      <c r="B488" s="61" t="s">
        <v>1538</v>
      </c>
      <c r="C488" s="39" t="s">
        <v>1539</v>
      </c>
      <c r="D488" s="20" t="s">
        <v>502</v>
      </c>
      <c r="E488" s="54" t="s">
        <v>447</v>
      </c>
      <c r="F488" s="54" t="s">
        <v>33</v>
      </c>
      <c r="G488" s="10" t="s">
        <v>23</v>
      </c>
      <c r="H488" s="39" t="s">
        <v>886</v>
      </c>
      <c r="I488" s="39" t="s">
        <v>1091</v>
      </c>
      <c r="J488" s="44">
        <v>60</v>
      </c>
      <c r="K488" s="44"/>
      <c r="L488" s="63">
        <v>60</v>
      </c>
      <c r="M488" s="64" t="s">
        <v>1381</v>
      </c>
      <c r="N488" s="2"/>
    </row>
    <row r="489" spans="1:14" ht="14.4">
      <c r="A489" s="42">
        <v>45773</v>
      </c>
      <c r="B489" s="61" t="s">
        <v>1540</v>
      </c>
      <c r="C489" s="39" t="s">
        <v>1541</v>
      </c>
      <c r="D489" s="20" t="s">
        <v>446</v>
      </c>
      <c r="E489" s="54" t="s">
        <v>447</v>
      </c>
      <c r="F489" s="54" t="s">
        <v>33</v>
      </c>
      <c r="G489" s="10" t="s">
        <v>23</v>
      </c>
      <c r="H489" s="39" t="s">
        <v>886</v>
      </c>
      <c r="I489" s="39" t="s">
        <v>1091</v>
      </c>
      <c r="J489" s="44">
        <v>60</v>
      </c>
      <c r="K489" s="44"/>
      <c r="L489" s="63">
        <v>60</v>
      </c>
      <c r="M489" s="64" t="s">
        <v>1381</v>
      </c>
      <c r="N489" s="2"/>
    </row>
    <row r="490" spans="1:14" ht="14.4">
      <c r="A490" s="160">
        <v>45773</v>
      </c>
      <c r="B490" s="161" t="s">
        <v>1542</v>
      </c>
      <c r="C490" s="162" t="s">
        <v>1543</v>
      </c>
      <c r="D490" s="163" t="s">
        <v>1035</v>
      </c>
      <c r="E490" s="164" t="s">
        <v>447</v>
      </c>
      <c r="F490" s="54" t="s">
        <v>40</v>
      </c>
      <c r="G490" s="54" t="s">
        <v>40</v>
      </c>
      <c r="H490" s="165" t="s">
        <v>40</v>
      </c>
      <c r="I490" s="165"/>
      <c r="J490" s="166">
        <v>150</v>
      </c>
      <c r="K490" s="166"/>
      <c r="L490" s="167">
        <v>150</v>
      </c>
      <c r="M490" s="64" t="s">
        <v>1381</v>
      </c>
      <c r="N490" s="2"/>
    </row>
    <row r="491" spans="1:14" ht="14.4">
      <c r="A491" s="42">
        <v>45775</v>
      </c>
      <c r="B491" s="61" t="s">
        <v>1544</v>
      </c>
      <c r="C491" s="39" t="s">
        <v>1545</v>
      </c>
      <c r="D491" s="20" t="s">
        <v>985</v>
      </c>
      <c r="E491" s="54" t="s">
        <v>447</v>
      </c>
      <c r="F491" s="54" t="s">
        <v>33</v>
      </c>
      <c r="G491" s="10" t="s">
        <v>23</v>
      </c>
      <c r="H491" s="39" t="s">
        <v>1054</v>
      </c>
      <c r="I491" s="39" t="s">
        <v>1446</v>
      </c>
      <c r="J491" s="44">
        <v>200</v>
      </c>
      <c r="K491" s="44">
        <v>129</v>
      </c>
      <c r="L491" s="63">
        <v>329</v>
      </c>
      <c r="M491" s="64" t="s">
        <v>742</v>
      </c>
      <c r="N491" s="2"/>
    </row>
    <row r="492" spans="1:14" ht="14.4">
      <c r="A492" s="42">
        <v>45775</v>
      </c>
      <c r="B492" s="61" t="s">
        <v>1546</v>
      </c>
      <c r="C492" s="39" t="s">
        <v>1235</v>
      </c>
      <c r="D492" s="20" t="s">
        <v>1035</v>
      </c>
      <c r="E492" s="54" t="s">
        <v>447</v>
      </c>
      <c r="F492" s="54" t="s">
        <v>40</v>
      </c>
      <c r="G492" s="54" t="s">
        <v>40</v>
      </c>
      <c r="H492" s="39" t="s">
        <v>1410</v>
      </c>
      <c r="I492" s="39"/>
      <c r="J492" s="44">
        <v>249.5</v>
      </c>
      <c r="K492" s="44"/>
      <c r="L492" s="63">
        <v>249.5</v>
      </c>
      <c r="M492" s="64" t="s">
        <v>742</v>
      </c>
      <c r="N492" s="2"/>
    </row>
    <row r="493" spans="1:14" ht="14.4">
      <c r="A493" s="42">
        <v>45775</v>
      </c>
      <c r="B493" s="61" t="s">
        <v>1546</v>
      </c>
      <c r="C493" s="39" t="s">
        <v>1235</v>
      </c>
      <c r="D493" s="20" t="s">
        <v>1035</v>
      </c>
      <c r="E493" s="54" t="s">
        <v>447</v>
      </c>
      <c r="F493" s="54" t="s">
        <v>40</v>
      </c>
      <c r="G493" s="54" t="s">
        <v>40</v>
      </c>
      <c r="H493" s="39" t="s">
        <v>1410</v>
      </c>
      <c r="I493" s="39"/>
      <c r="J493" s="44">
        <v>249.5</v>
      </c>
      <c r="K493" s="44"/>
      <c r="L493" s="63">
        <v>249.5</v>
      </c>
      <c r="M493" s="64" t="s">
        <v>480</v>
      </c>
      <c r="N493" s="2"/>
    </row>
    <row r="494" spans="1:14" ht="14.4">
      <c r="A494" s="42">
        <v>45775</v>
      </c>
      <c r="B494" s="168" t="s">
        <v>1547</v>
      </c>
      <c r="C494" s="19" t="s">
        <v>1548</v>
      </c>
      <c r="D494" s="20" t="s">
        <v>1033</v>
      </c>
      <c r="E494" s="54" t="s">
        <v>447</v>
      </c>
      <c r="F494" s="54" t="s">
        <v>40</v>
      </c>
      <c r="G494" s="54" t="s">
        <v>40</v>
      </c>
      <c r="H494" s="39" t="s">
        <v>1393</v>
      </c>
      <c r="I494" s="39"/>
      <c r="J494" s="21">
        <v>190</v>
      </c>
      <c r="K494" s="21"/>
      <c r="L494" s="21">
        <v>190</v>
      </c>
      <c r="M494" s="64" t="s">
        <v>645</v>
      </c>
      <c r="N494" s="2"/>
    </row>
    <row r="495" spans="1:14" ht="14.4">
      <c r="A495" s="42">
        <v>45775</v>
      </c>
      <c r="B495" s="61" t="s">
        <v>1549</v>
      </c>
      <c r="C495" s="39" t="s">
        <v>1550</v>
      </c>
      <c r="D495" s="20" t="s">
        <v>974</v>
      </c>
      <c r="E495" s="54" t="s">
        <v>519</v>
      </c>
      <c r="F495" s="54" t="s">
        <v>40</v>
      </c>
      <c r="G495" s="54" t="s">
        <v>40</v>
      </c>
      <c r="H495" s="39" t="s">
        <v>1393</v>
      </c>
      <c r="I495" s="39"/>
      <c r="J495" s="44">
        <v>120</v>
      </c>
      <c r="K495" s="44"/>
      <c r="L495" s="63">
        <v>120</v>
      </c>
      <c r="M495" s="64" t="s">
        <v>742</v>
      </c>
      <c r="N495" s="2"/>
    </row>
    <row r="496" spans="1:14" ht="14.4">
      <c r="A496" s="42">
        <v>45775</v>
      </c>
      <c r="B496" s="61" t="s">
        <v>1551</v>
      </c>
      <c r="C496" s="39" t="s">
        <v>1552</v>
      </c>
      <c r="D496" s="20" t="s">
        <v>502</v>
      </c>
      <c r="E496" s="54" t="s">
        <v>447</v>
      </c>
      <c r="F496" s="54" t="s">
        <v>33</v>
      </c>
      <c r="G496" s="10" t="s">
        <v>23</v>
      </c>
      <c r="H496" s="39" t="s">
        <v>886</v>
      </c>
      <c r="I496" s="39" t="s">
        <v>1220</v>
      </c>
      <c r="J496" s="44">
        <v>35</v>
      </c>
      <c r="K496" s="44"/>
      <c r="L496" s="63">
        <v>35</v>
      </c>
      <c r="M496" s="64" t="s">
        <v>1381</v>
      </c>
      <c r="N496" s="2"/>
    </row>
    <row r="497" spans="1:14" ht="14.4">
      <c r="A497" s="42">
        <v>45775</v>
      </c>
      <c r="B497" s="61" t="s">
        <v>1553</v>
      </c>
      <c r="C497" s="39" t="s">
        <v>1554</v>
      </c>
      <c r="D497" s="20" t="s">
        <v>502</v>
      </c>
      <c r="E497" s="54" t="s">
        <v>447</v>
      </c>
      <c r="F497" s="54" t="s">
        <v>33</v>
      </c>
      <c r="G497" s="10" t="s">
        <v>23</v>
      </c>
      <c r="H497" s="39" t="s">
        <v>886</v>
      </c>
      <c r="I497" s="39" t="s">
        <v>1091</v>
      </c>
      <c r="J497" s="44">
        <v>60</v>
      </c>
      <c r="K497" s="44"/>
      <c r="L497" s="63">
        <v>60</v>
      </c>
      <c r="M497" s="64" t="s">
        <v>1381</v>
      </c>
      <c r="N497" s="2"/>
    </row>
    <row r="498" spans="1:14" ht="14.4">
      <c r="A498" s="42">
        <v>45775</v>
      </c>
      <c r="B498" s="61" t="s">
        <v>1513</v>
      </c>
      <c r="C498" s="39" t="s">
        <v>1555</v>
      </c>
      <c r="D498" s="20" t="s">
        <v>1033</v>
      </c>
      <c r="E498" s="54" t="s">
        <v>447</v>
      </c>
      <c r="F498" s="54" t="s">
        <v>40</v>
      </c>
      <c r="G498" s="54" t="s">
        <v>40</v>
      </c>
      <c r="H498" s="39" t="s">
        <v>1393</v>
      </c>
      <c r="I498" s="39"/>
      <c r="J498" s="44">
        <v>170</v>
      </c>
      <c r="K498" s="44"/>
      <c r="L498" s="63">
        <v>170</v>
      </c>
      <c r="M498" s="64" t="s">
        <v>742</v>
      </c>
      <c r="N498" s="2"/>
    </row>
    <row r="499" spans="1:14" ht="14.4">
      <c r="A499" s="42">
        <v>45775</v>
      </c>
      <c r="B499" s="168" t="s">
        <v>1556</v>
      </c>
      <c r="C499" s="21" t="s">
        <v>1557</v>
      </c>
      <c r="D499" s="20" t="s">
        <v>1033</v>
      </c>
      <c r="E499" s="54" t="s">
        <v>1558</v>
      </c>
      <c r="F499" s="54" t="s">
        <v>40</v>
      </c>
      <c r="G499" s="54" t="s">
        <v>40</v>
      </c>
      <c r="H499" s="39" t="s">
        <v>1393</v>
      </c>
      <c r="I499" s="39"/>
      <c r="J499" s="21">
        <v>156.62</v>
      </c>
      <c r="K499" s="169"/>
      <c r="L499" s="21">
        <v>156.62</v>
      </c>
      <c r="M499" s="64" t="s">
        <v>645</v>
      </c>
      <c r="N499" s="2"/>
    </row>
    <row r="500" spans="1:14" ht="14.4">
      <c r="A500" s="42">
        <v>45776</v>
      </c>
      <c r="B500" s="159" t="s">
        <v>1221</v>
      </c>
      <c r="C500" s="19" t="s">
        <v>1098</v>
      </c>
      <c r="D500" s="20" t="s">
        <v>864</v>
      </c>
      <c r="E500" s="54" t="s">
        <v>447</v>
      </c>
      <c r="F500" s="54" t="s">
        <v>25</v>
      </c>
      <c r="G500" s="10" t="s">
        <v>25</v>
      </c>
      <c r="H500" s="170" t="s">
        <v>1559</v>
      </c>
      <c r="I500" s="39"/>
      <c r="J500" s="44">
        <v>1180</v>
      </c>
      <c r="K500" s="44"/>
      <c r="L500" s="63">
        <v>1180</v>
      </c>
      <c r="M500" s="64" t="s">
        <v>480</v>
      </c>
      <c r="N500" s="2"/>
    </row>
    <row r="501" spans="1:14" ht="14.4">
      <c r="A501" s="42">
        <v>45776</v>
      </c>
      <c r="B501" s="61" t="s">
        <v>1560</v>
      </c>
      <c r="C501" s="39" t="s">
        <v>1561</v>
      </c>
      <c r="D501" s="20" t="s">
        <v>1035</v>
      </c>
      <c r="E501" s="54" t="s">
        <v>519</v>
      </c>
      <c r="F501" s="54" t="s">
        <v>40</v>
      </c>
      <c r="G501" s="54" t="s">
        <v>40</v>
      </c>
      <c r="H501" s="39" t="s">
        <v>1393</v>
      </c>
      <c r="I501" s="39"/>
      <c r="J501" s="44">
        <v>70</v>
      </c>
      <c r="K501" s="44"/>
      <c r="L501" s="63">
        <v>70</v>
      </c>
      <c r="M501" s="64" t="s">
        <v>742</v>
      </c>
      <c r="N501" s="2"/>
    </row>
    <row r="502" spans="1:14" ht="14.4">
      <c r="A502" s="42">
        <v>45776</v>
      </c>
      <c r="B502" s="61" t="s">
        <v>1562</v>
      </c>
      <c r="C502" s="39" t="s">
        <v>1563</v>
      </c>
      <c r="D502" s="20" t="s">
        <v>446</v>
      </c>
      <c r="E502" s="54" t="s">
        <v>447</v>
      </c>
      <c r="F502" s="54" t="s">
        <v>33</v>
      </c>
      <c r="G502" s="10" t="s">
        <v>23</v>
      </c>
      <c r="H502" s="39" t="s">
        <v>1564</v>
      </c>
      <c r="I502" s="39" t="s">
        <v>1194</v>
      </c>
      <c r="J502" s="44">
        <v>40</v>
      </c>
      <c r="K502" s="44"/>
      <c r="L502" s="63">
        <v>40</v>
      </c>
      <c r="M502" s="64" t="s">
        <v>645</v>
      </c>
      <c r="N502" s="2"/>
    </row>
    <row r="503" spans="1:14" ht="14.4">
      <c r="A503" s="42">
        <v>45776</v>
      </c>
      <c r="B503" s="61" t="s">
        <v>1565</v>
      </c>
      <c r="C503" s="39" t="s">
        <v>1566</v>
      </c>
      <c r="D503" s="20" t="s">
        <v>446</v>
      </c>
      <c r="E503" s="54" t="s">
        <v>447</v>
      </c>
      <c r="F503" s="54" t="s">
        <v>22</v>
      </c>
      <c r="G503" s="10" t="s">
        <v>23</v>
      </c>
      <c r="H503" s="39" t="s">
        <v>1019</v>
      </c>
      <c r="I503" s="39" t="s">
        <v>1299</v>
      </c>
      <c r="J503" s="44">
        <v>149.5</v>
      </c>
      <c r="K503" s="44">
        <v>149.5</v>
      </c>
      <c r="L503" s="63">
        <v>299</v>
      </c>
      <c r="M503" s="64" t="s">
        <v>742</v>
      </c>
      <c r="N503" s="2"/>
    </row>
    <row r="504" spans="1:14" ht="14.4">
      <c r="A504" s="42">
        <v>45777</v>
      </c>
      <c r="B504" s="61" t="s">
        <v>1567</v>
      </c>
      <c r="C504" s="39" t="s">
        <v>611</v>
      </c>
      <c r="D504" s="20" t="s">
        <v>1033</v>
      </c>
      <c r="E504" s="54" t="s">
        <v>447</v>
      </c>
      <c r="F504" s="54" t="s">
        <v>40</v>
      </c>
      <c r="G504" s="54" t="s">
        <v>40</v>
      </c>
      <c r="H504" s="39" t="s">
        <v>1406</v>
      </c>
      <c r="I504" s="39"/>
      <c r="J504" s="44">
        <f>1095.495*2</f>
        <v>2190.9899999999998</v>
      </c>
      <c r="K504" s="44"/>
      <c r="L504" s="63">
        <f>1095.495*2</f>
        <v>2190.9899999999998</v>
      </c>
      <c r="M504" s="64" t="s">
        <v>480</v>
      </c>
      <c r="N504" s="2"/>
    </row>
    <row r="505" spans="1:14" ht="14.4">
      <c r="A505" s="42">
        <v>45777</v>
      </c>
      <c r="B505" s="61" t="s">
        <v>1568</v>
      </c>
      <c r="C505" s="39" t="s">
        <v>1569</v>
      </c>
      <c r="D505" s="20" t="s">
        <v>1033</v>
      </c>
      <c r="E505" s="54" t="s">
        <v>447</v>
      </c>
      <c r="F505" s="54" t="s">
        <v>40</v>
      </c>
      <c r="G505" s="54" t="s">
        <v>40</v>
      </c>
      <c r="H505" s="39" t="s">
        <v>1406</v>
      </c>
      <c r="I505" s="39"/>
      <c r="J505" s="44">
        <v>1000</v>
      </c>
      <c r="K505" s="44"/>
      <c r="L505" s="63">
        <v>1000</v>
      </c>
      <c r="M505" s="64" t="s">
        <v>742</v>
      </c>
      <c r="N505" s="2"/>
    </row>
    <row r="506" spans="1:14" ht="14.4">
      <c r="A506" s="42">
        <v>45779</v>
      </c>
      <c r="B506" s="61" t="s">
        <v>1570</v>
      </c>
      <c r="C506" s="39" t="s">
        <v>1571</v>
      </c>
      <c r="D506" s="20" t="s">
        <v>502</v>
      </c>
      <c r="E506" s="54" t="s">
        <v>447</v>
      </c>
      <c r="F506" s="54" t="s">
        <v>33</v>
      </c>
      <c r="G506" s="10" t="s">
        <v>23</v>
      </c>
      <c r="H506" s="39" t="s">
        <v>886</v>
      </c>
      <c r="I506" s="39" t="s">
        <v>1085</v>
      </c>
      <c r="J506" s="44">
        <v>30</v>
      </c>
      <c r="K506" s="44"/>
      <c r="L506" s="63">
        <v>30</v>
      </c>
      <c r="M506" s="64" t="s">
        <v>742</v>
      </c>
      <c r="N506" s="2"/>
    </row>
    <row r="507" spans="1:14" ht="14.4">
      <c r="A507" s="42">
        <v>45779</v>
      </c>
      <c r="B507" s="61" t="s">
        <v>1572</v>
      </c>
      <c r="C507" s="39" t="s">
        <v>1573</v>
      </c>
      <c r="D507" s="20" t="s">
        <v>1035</v>
      </c>
      <c r="E507" s="54" t="s">
        <v>447</v>
      </c>
      <c r="F507" s="54" t="s">
        <v>40</v>
      </c>
      <c r="G507" s="54" t="s">
        <v>40</v>
      </c>
      <c r="H507" s="39" t="s">
        <v>1574</v>
      </c>
      <c r="I507" s="39"/>
      <c r="J507" s="44">
        <v>820</v>
      </c>
      <c r="K507" s="44"/>
      <c r="L507" s="63">
        <v>1640</v>
      </c>
      <c r="M507" s="64" t="s">
        <v>1381</v>
      </c>
      <c r="N507" s="2"/>
    </row>
    <row r="508" spans="1:14" ht="14.4">
      <c r="A508" s="42">
        <v>45780</v>
      </c>
      <c r="B508" s="61" t="s">
        <v>1575</v>
      </c>
      <c r="C508" s="39" t="s">
        <v>1576</v>
      </c>
      <c r="D508" s="20" t="s">
        <v>280</v>
      </c>
      <c r="E508" s="54" t="s">
        <v>447</v>
      </c>
      <c r="F508" s="54" t="s">
        <v>22</v>
      </c>
      <c r="G508" s="10" t="s">
        <v>23</v>
      </c>
      <c r="H508" s="39" t="s">
        <v>1577</v>
      </c>
      <c r="I508" s="39" t="s">
        <v>1220</v>
      </c>
      <c r="J508" s="44">
        <v>240</v>
      </c>
      <c r="K508" s="44"/>
      <c r="L508" s="63">
        <v>350</v>
      </c>
      <c r="M508" s="64" t="s">
        <v>1381</v>
      </c>
      <c r="N508" s="2"/>
    </row>
    <row r="509" spans="1:14" ht="14.4">
      <c r="A509" s="42">
        <v>45780</v>
      </c>
      <c r="B509" s="61" t="s">
        <v>1578</v>
      </c>
      <c r="C509" s="39" t="s">
        <v>1579</v>
      </c>
      <c r="D509" s="20" t="s">
        <v>280</v>
      </c>
      <c r="E509" s="54" t="s">
        <v>447</v>
      </c>
      <c r="F509" s="54" t="s">
        <v>252</v>
      </c>
      <c r="G509" s="10" t="s">
        <v>23</v>
      </c>
      <c r="H509" s="39" t="s">
        <v>847</v>
      </c>
      <c r="I509" s="39" t="s">
        <v>1085</v>
      </c>
      <c r="J509" s="44">
        <v>350</v>
      </c>
      <c r="K509" s="44"/>
      <c r="L509" s="63">
        <v>240</v>
      </c>
      <c r="M509" s="64" t="s">
        <v>1381</v>
      </c>
      <c r="N509" s="2"/>
    </row>
    <row r="510" spans="1:14" ht="14.4">
      <c r="A510" s="42">
        <v>45782</v>
      </c>
      <c r="B510" s="61" t="s">
        <v>1580</v>
      </c>
      <c r="C510" s="39" t="s">
        <v>1581</v>
      </c>
      <c r="D510" s="20" t="s">
        <v>280</v>
      </c>
      <c r="E510" s="54" t="s">
        <v>447</v>
      </c>
      <c r="F510" s="54" t="s">
        <v>33</v>
      </c>
      <c r="G510" s="10" t="s">
        <v>23</v>
      </c>
      <c r="H510" s="39" t="s">
        <v>503</v>
      </c>
      <c r="I510" s="39" t="s">
        <v>1111</v>
      </c>
      <c r="J510" s="44">
        <v>65</v>
      </c>
      <c r="K510" s="44"/>
      <c r="L510" s="63">
        <v>65</v>
      </c>
      <c r="M510" s="64" t="s">
        <v>1381</v>
      </c>
      <c r="N510" s="2"/>
    </row>
    <row r="511" spans="1:14" ht="14.4">
      <c r="A511" s="42">
        <v>45782</v>
      </c>
      <c r="B511" s="61" t="s">
        <v>1582</v>
      </c>
      <c r="C511" s="39" t="s">
        <v>1583</v>
      </c>
      <c r="D511" s="20" t="s">
        <v>280</v>
      </c>
      <c r="E511" s="54" t="s">
        <v>447</v>
      </c>
      <c r="F511" s="54" t="s">
        <v>22</v>
      </c>
      <c r="G511" s="10" t="s">
        <v>23</v>
      </c>
      <c r="H511" s="39" t="s">
        <v>1584</v>
      </c>
      <c r="I511" s="39" t="s">
        <v>1446</v>
      </c>
      <c r="J511" s="44">
        <v>105</v>
      </c>
      <c r="K511" s="44">
        <v>105</v>
      </c>
      <c r="L511" s="63">
        <v>210</v>
      </c>
      <c r="M511" s="64" t="s">
        <v>1381</v>
      </c>
      <c r="N511" s="2"/>
    </row>
    <row r="512" spans="1:14" ht="14.4">
      <c r="A512" s="42">
        <v>45783</v>
      </c>
      <c r="B512" s="61" t="s">
        <v>1585</v>
      </c>
      <c r="C512" s="39" t="s">
        <v>1586</v>
      </c>
      <c r="D512" s="20" t="s">
        <v>1033</v>
      </c>
      <c r="E512" s="54" t="s">
        <v>447</v>
      </c>
      <c r="F512" s="54" t="s">
        <v>40</v>
      </c>
      <c r="G512" s="54" t="s">
        <v>40</v>
      </c>
      <c r="H512" s="39" t="s">
        <v>1393</v>
      </c>
      <c r="I512" s="39"/>
      <c r="J512" s="44">
        <v>260</v>
      </c>
      <c r="K512" s="44"/>
      <c r="L512" s="63">
        <v>260</v>
      </c>
      <c r="M512" s="64" t="s">
        <v>1381</v>
      </c>
      <c r="N512" s="2"/>
    </row>
    <row r="513" spans="1:14" ht="14.4">
      <c r="A513" s="42">
        <v>45783</v>
      </c>
      <c r="B513" s="61" t="s">
        <v>1587</v>
      </c>
      <c r="C513" s="39" t="s">
        <v>1588</v>
      </c>
      <c r="D513" s="20" t="s">
        <v>280</v>
      </c>
      <c r="E513" s="54" t="s">
        <v>447</v>
      </c>
      <c r="F513" s="54" t="s">
        <v>22</v>
      </c>
      <c r="G513" s="10" t="s">
        <v>23</v>
      </c>
      <c r="H513" s="39" t="s">
        <v>1584</v>
      </c>
      <c r="I513" s="39" t="s">
        <v>1173</v>
      </c>
      <c r="J513" s="44">
        <v>500</v>
      </c>
      <c r="K513" s="44"/>
      <c r="L513" s="63">
        <v>500</v>
      </c>
      <c r="M513" s="64" t="s">
        <v>1381</v>
      </c>
      <c r="N513" s="2"/>
    </row>
    <row r="514" spans="1:14" ht="14.4">
      <c r="A514" s="42">
        <v>45783</v>
      </c>
      <c r="B514" s="61" t="s">
        <v>1589</v>
      </c>
      <c r="C514" s="39" t="s">
        <v>1590</v>
      </c>
      <c r="D514" s="20" t="s">
        <v>1035</v>
      </c>
      <c r="E514" s="54" t="s">
        <v>447</v>
      </c>
      <c r="F514" s="54" t="s">
        <v>40</v>
      </c>
      <c r="G514" s="54" t="s">
        <v>40</v>
      </c>
      <c r="H514" s="39" t="s">
        <v>1591</v>
      </c>
      <c r="I514" s="39"/>
      <c r="J514" s="44">
        <v>135</v>
      </c>
      <c r="K514" s="44"/>
      <c r="L514" s="63">
        <v>135</v>
      </c>
      <c r="M514" s="64" t="s">
        <v>1381</v>
      </c>
      <c r="N514" s="2"/>
    </row>
    <row r="515" spans="1:14" ht="14.4">
      <c r="A515" s="42">
        <v>45784</v>
      </c>
      <c r="B515" s="61" t="s">
        <v>1592</v>
      </c>
      <c r="C515" s="39" t="s">
        <v>1593</v>
      </c>
      <c r="D515" s="20" t="s">
        <v>502</v>
      </c>
      <c r="E515" s="54" t="s">
        <v>447</v>
      </c>
      <c r="F515" s="54" t="s">
        <v>33</v>
      </c>
      <c r="G515" s="10" t="s">
        <v>23</v>
      </c>
      <c r="H515" s="39" t="s">
        <v>1594</v>
      </c>
      <c r="I515" s="39" t="s">
        <v>1220</v>
      </c>
      <c r="J515" s="44">
        <v>35</v>
      </c>
      <c r="K515" s="44"/>
      <c r="L515" s="63">
        <v>35</v>
      </c>
      <c r="M515" s="64" t="s">
        <v>1381</v>
      </c>
      <c r="N515" s="2"/>
    </row>
    <row r="516" spans="1:14" ht="14.4">
      <c r="A516" s="42">
        <v>45784</v>
      </c>
      <c r="B516" s="61" t="s">
        <v>1595</v>
      </c>
      <c r="C516" s="39" t="s">
        <v>1596</v>
      </c>
      <c r="D516" s="20" t="s">
        <v>502</v>
      </c>
      <c r="E516" s="54" t="s">
        <v>447</v>
      </c>
      <c r="F516" s="54" t="s">
        <v>33</v>
      </c>
      <c r="G516" s="10" t="s">
        <v>23</v>
      </c>
      <c r="H516" s="39" t="s">
        <v>886</v>
      </c>
      <c r="I516" s="39" t="s">
        <v>1299</v>
      </c>
      <c r="J516" s="44">
        <v>80</v>
      </c>
      <c r="K516" s="44"/>
      <c r="L516" s="63">
        <v>80</v>
      </c>
      <c r="M516" s="64" t="s">
        <v>742</v>
      </c>
      <c r="N516" s="2"/>
    </row>
    <row r="517" spans="1:14" ht="14.4">
      <c r="A517" s="42">
        <v>45784</v>
      </c>
      <c r="B517" s="61" t="s">
        <v>1597</v>
      </c>
      <c r="C517" s="39" t="s">
        <v>1598</v>
      </c>
      <c r="D517" s="20" t="s">
        <v>446</v>
      </c>
      <c r="E517" s="54" t="s">
        <v>447</v>
      </c>
      <c r="F517" s="54" t="s">
        <v>22</v>
      </c>
      <c r="G517" s="10" t="s">
        <v>23</v>
      </c>
      <c r="H517" s="39" t="s">
        <v>1584</v>
      </c>
      <c r="I517" s="39" t="s">
        <v>1258</v>
      </c>
      <c r="J517" s="44">
        <v>144</v>
      </c>
      <c r="K517" s="44">
        <v>144</v>
      </c>
      <c r="L517" s="63">
        <v>288</v>
      </c>
      <c r="M517" s="64" t="s">
        <v>742</v>
      </c>
      <c r="N517" s="2"/>
    </row>
    <row r="518" spans="1:14" ht="14.4">
      <c r="A518" s="42">
        <v>45784</v>
      </c>
      <c r="B518" s="61" t="s">
        <v>1599</v>
      </c>
      <c r="C518" s="39" t="s">
        <v>1430</v>
      </c>
      <c r="D518" s="20" t="s">
        <v>1035</v>
      </c>
      <c r="E518" s="54" t="s">
        <v>447</v>
      </c>
      <c r="F518" s="54" t="s">
        <v>40</v>
      </c>
      <c r="G518" s="54" t="s">
        <v>40</v>
      </c>
      <c r="H518" s="39" t="s">
        <v>1600</v>
      </c>
      <c r="I518" s="39"/>
      <c r="J518" s="44">
        <v>160</v>
      </c>
      <c r="K518" s="44"/>
      <c r="L518" s="63">
        <v>160</v>
      </c>
      <c r="M518" s="64" t="s">
        <v>1381</v>
      </c>
      <c r="N518" s="2"/>
    </row>
    <row r="519" spans="1:14" ht="14.4">
      <c r="A519" s="42">
        <v>45784</v>
      </c>
      <c r="B519" s="61" t="s">
        <v>1601</v>
      </c>
      <c r="C519" s="39" t="s">
        <v>1602</v>
      </c>
      <c r="D519" s="20" t="s">
        <v>502</v>
      </c>
      <c r="E519" s="54" t="s">
        <v>447</v>
      </c>
      <c r="F519" s="54" t="s">
        <v>33</v>
      </c>
      <c r="G519" s="10" t="s">
        <v>23</v>
      </c>
      <c r="H519" s="39" t="s">
        <v>831</v>
      </c>
      <c r="I519" s="39" t="s">
        <v>1603</v>
      </c>
      <c r="J519" s="44">
        <v>60</v>
      </c>
      <c r="K519" s="44"/>
      <c r="L519" s="63">
        <v>60</v>
      </c>
      <c r="M519" s="64" t="s">
        <v>742</v>
      </c>
      <c r="N519" s="2"/>
    </row>
    <row r="520" spans="1:14" ht="14.4">
      <c r="A520" s="42">
        <v>45785</v>
      </c>
      <c r="B520" s="61" t="s">
        <v>1604</v>
      </c>
      <c r="C520" s="39" t="s">
        <v>1605</v>
      </c>
      <c r="D520" s="20" t="s">
        <v>280</v>
      </c>
      <c r="E520" s="54" t="s">
        <v>519</v>
      </c>
      <c r="F520" s="54" t="s">
        <v>252</v>
      </c>
      <c r="G520" s="10" t="s">
        <v>23</v>
      </c>
      <c r="H520" s="39" t="s">
        <v>1606</v>
      </c>
      <c r="I520" s="39" t="s">
        <v>1607</v>
      </c>
      <c r="J520" s="44">
        <v>475</v>
      </c>
      <c r="K520" s="44">
        <v>475</v>
      </c>
      <c r="L520" s="63">
        <v>950</v>
      </c>
      <c r="M520" s="64" t="s">
        <v>742</v>
      </c>
      <c r="N520" s="2"/>
    </row>
    <row r="521" spans="1:14" ht="14.4">
      <c r="A521" s="42">
        <v>45785</v>
      </c>
      <c r="B521" s="61" t="s">
        <v>1608</v>
      </c>
      <c r="C521" s="39" t="s">
        <v>1609</v>
      </c>
      <c r="D521" s="20" t="s">
        <v>502</v>
      </c>
      <c r="E521" s="54" t="s">
        <v>447</v>
      </c>
      <c r="F521" s="54" t="s">
        <v>33</v>
      </c>
      <c r="G521" s="10" t="s">
        <v>23</v>
      </c>
      <c r="H521" s="39" t="s">
        <v>789</v>
      </c>
      <c r="I521" s="39" t="s">
        <v>1111</v>
      </c>
      <c r="J521" s="44">
        <v>60</v>
      </c>
      <c r="K521" s="44"/>
      <c r="L521" s="63">
        <v>60</v>
      </c>
      <c r="M521" s="64" t="s">
        <v>742</v>
      </c>
      <c r="N521" s="2"/>
    </row>
    <row r="522" spans="1:14" ht="14.4">
      <c r="A522" s="42">
        <v>45785</v>
      </c>
      <c r="B522" s="61" t="s">
        <v>1610</v>
      </c>
      <c r="C522" s="39" t="s">
        <v>1611</v>
      </c>
      <c r="D522" s="20" t="s">
        <v>446</v>
      </c>
      <c r="E522" s="54" t="s">
        <v>447</v>
      </c>
      <c r="F522" s="54" t="s">
        <v>33</v>
      </c>
      <c r="G522" s="10" t="s">
        <v>23</v>
      </c>
      <c r="H522" s="39" t="s">
        <v>789</v>
      </c>
      <c r="I522" s="39" t="s">
        <v>1060</v>
      </c>
      <c r="J522" s="44">
        <v>50</v>
      </c>
      <c r="K522" s="44"/>
      <c r="L522" s="63">
        <v>50</v>
      </c>
      <c r="M522" s="64" t="s">
        <v>742</v>
      </c>
      <c r="N522" s="2"/>
    </row>
    <row r="523" spans="1:14" ht="14.4">
      <c r="A523" s="42">
        <v>45785</v>
      </c>
      <c r="B523" s="61" t="s">
        <v>1612</v>
      </c>
      <c r="C523" s="39" t="s">
        <v>1613</v>
      </c>
      <c r="D523" s="20" t="s">
        <v>1050</v>
      </c>
      <c r="E523" s="54" t="s">
        <v>519</v>
      </c>
      <c r="F523" s="54" t="s">
        <v>40</v>
      </c>
      <c r="G523" s="54" t="s">
        <v>40</v>
      </c>
      <c r="H523" s="39" t="s">
        <v>1393</v>
      </c>
      <c r="I523" s="39"/>
      <c r="J523" s="44">
        <v>30</v>
      </c>
      <c r="K523" s="44"/>
      <c r="L523" s="63">
        <v>30</v>
      </c>
      <c r="M523" s="64" t="s">
        <v>742</v>
      </c>
      <c r="N523" s="2"/>
    </row>
    <row r="524" spans="1:14" ht="14.4">
      <c r="A524" s="42">
        <v>45785</v>
      </c>
      <c r="B524" s="61" t="s">
        <v>1500</v>
      </c>
      <c r="C524" s="39" t="s">
        <v>1614</v>
      </c>
      <c r="D524" s="20" t="s">
        <v>1035</v>
      </c>
      <c r="E524" s="54" t="s">
        <v>447</v>
      </c>
      <c r="F524" s="54" t="s">
        <v>40</v>
      </c>
      <c r="G524" s="54" t="s">
        <v>40</v>
      </c>
      <c r="H524" s="39" t="s">
        <v>1615</v>
      </c>
      <c r="I524" s="39"/>
      <c r="J524" s="44">
        <v>220</v>
      </c>
      <c r="K524" s="44"/>
      <c r="L524" s="63">
        <v>220</v>
      </c>
      <c r="M524" s="64" t="s">
        <v>1381</v>
      </c>
      <c r="N524" s="2"/>
    </row>
    <row r="525" spans="1:14" ht="14.4">
      <c r="A525" s="42">
        <v>45786</v>
      </c>
      <c r="B525" s="61" t="s">
        <v>1616</v>
      </c>
      <c r="C525" s="39" t="s">
        <v>1617</v>
      </c>
      <c r="D525" s="20" t="s">
        <v>280</v>
      </c>
      <c r="E525" s="54" t="s">
        <v>519</v>
      </c>
      <c r="F525" s="54" t="s">
        <v>252</v>
      </c>
      <c r="G525" s="10" t="s">
        <v>23</v>
      </c>
      <c r="H525" s="39" t="s">
        <v>1027</v>
      </c>
      <c r="I525" s="39" t="s">
        <v>1159</v>
      </c>
      <c r="J525" s="44">
        <v>520</v>
      </c>
      <c r="K525" s="44"/>
      <c r="L525" s="63">
        <v>520</v>
      </c>
      <c r="M525" s="64" t="s">
        <v>742</v>
      </c>
      <c r="N525" s="2"/>
    </row>
    <row r="526" spans="1:14" ht="14.4">
      <c r="A526" s="42">
        <v>45786</v>
      </c>
      <c r="B526" s="61" t="s">
        <v>1618</v>
      </c>
      <c r="C526" s="39" t="s">
        <v>1609</v>
      </c>
      <c r="D526" s="20" t="s">
        <v>446</v>
      </c>
      <c r="E526" s="54" t="s">
        <v>447</v>
      </c>
      <c r="F526" s="54" t="s">
        <v>33</v>
      </c>
      <c r="G526" s="10" t="s">
        <v>23</v>
      </c>
      <c r="H526" s="39" t="s">
        <v>789</v>
      </c>
      <c r="I526" s="39" t="s">
        <v>1446</v>
      </c>
      <c r="J526" s="44">
        <v>60</v>
      </c>
      <c r="K526" s="44"/>
      <c r="L526" s="63">
        <v>60</v>
      </c>
      <c r="M526" s="64" t="s">
        <v>1381</v>
      </c>
      <c r="N526" s="2"/>
    </row>
    <row r="527" spans="1:14" ht="14.4">
      <c r="A527" s="42">
        <v>45789</v>
      </c>
      <c r="B527" s="61" t="s">
        <v>1619</v>
      </c>
      <c r="C527" s="39" t="s">
        <v>1586</v>
      </c>
      <c r="D527" s="20" t="s">
        <v>1033</v>
      </c>
      <c r="E527" s="54" t="s">
        <v>447</v>
      </c>
      <c r="F527" s="54" t="s">
        <v>40</v>
      </c>
      <c r="G527" s="54" t="s">
        <v>40</v>
      </c>
      <c r="H527" s="39" t="s">
        <v>1620</v>
      </c>
      <c r="I527" s="39"/>
      <c r="J527" s="44">
        <v>1260</v>
      </c>
      <c r="K527" s="44"/>
      <c r="L527" s="63">
        <v>1260</v>
      </c>
      <c r="M527" s="64" t="s">
        <v>1381</v>
      </c>
      <c r="N527" s="2"/>
    </row>
    <row r="528" spans="1:14" ht="14.4">
      <c r="A528" s="42">
        <v>45789</v>
      </c>
      <c r="B528" s="61" t="s">
        <v>1459</v>
      </c>
      <c r="C528" s="39" t="s">
        <v>1621</v>
      </c>
      <c r="D528" s="20" t="s">
        <v>1035</v>
      </c>
      <c r="E528" s="54" t="s">
        <v>447</v>
      </c>
      <c r="F528" s="54" t="s">
        <v>40</v>
      </c>
      <c r="G528" s="54" t="s">
        <v>40</v>
      </c>
      <c r="H528" s="39" t="s">
        <v>672</v>
      </c>
      <c r="I528" s="39"/>
      <c r="J528" s="44">
        <v>429</v>
      </c>
      <c r="K528" s="44"/>
      <c r="L528" s="63">
        <v>429</v>
      </c>
      <c r="M528" s="64" t="s">
        <v>742</v>
      </c>
      <c r="N528" s="2"/>
    </row>
    <row r="529" spans="1:14" ht="14.4">
      <c r="A529" s="42">
        <v>45790</v>
      </c>
      <c r="B529" s="61" t="s">
        <v>1622</v>
      </c>
      <c r="C529" s="39" t="s">
        <v>1623</v>
      </c>
      <c r="D529" s="20" t="s">
        <v>502</v>
      </c>
      <c r="E529" s="54" t="s">
        <v>447</v>
      </c>
      <c r="F529" s="54" t="s">
        <v>33</v>
      </c>
      <c r="G529" s="10" t="s">
        <v>23</v>
      </c>
      <c r="H529" s="39" t="s">
        <v>886</v>
      </c>
      <c r="I529" s="39" t="s">
        <v>1220</v>
      </c>
      <c r="J529" s="44">
        <v>30</v>
      </c>
      <c r="K529" s="44"/>
      <c r="L529" s="63">
        <v>30</v>
      </c>
      <c r="M529" s="64" t="s">
        <v>742</v>
      </c>
      <c r="N529" s="2"/>
    </row>
    <row r="530" spans="1:14" ht="14.4">
      <c r="A530" s="42">
        <v>45790</v>
      </c>
      <c r="B530" s="61" t="s">
        <v>1624</v>
      </c>
      <c r="C530" s="39" t="s">
        <v>1625</v>
      </c>
      <c r="D530" s="20" t="s">
        <v>985</v>
      </c>
      <c r="E530" s="54" t="s">
        <v>447</v>
      </c>
      <c r="F530" s="54" t="s">
        <v>22</v>
      </c>
      <c r="G530" s="10" t="s">
        <v>23</v>
      </c>
      <c r="H530" s="39" t="s">
        <v>1584</v>
      </c>
      <c r="I530" s="39" t="s">
        <v>1626</v>
      </c>
      <c r="J530" s="44">
        <v>335</v>
      </c>
      <c r="K530" s="44"/>
      <c r="L530" s="63">
        <v>335</v>
      </c>
      <c r="M530" s="64" t="s">
        <v>1381</v>
      </c>
      <c r="N530" s="2"/>
    </row>
    <row r="531" spans="1:14" ht="14.4">
      <c r="A531" s="42">
        <v>45791</v>
      </c>
      <c r="B531" s="61" t="s">
        <v>1627</v>
      </c>
      <c r="C531" s="39" t="s">
        <v>1628</v>
      </c>
      <c r="D531" s="20" t="s">
        <v>1050</v>
      </c>
      <c r="E531" s="54" t="s">
        <v>447</v>
      </c>
      <c r="F531" s="54" t="s">
        <v>40</v>
      </c>
      <c r="G531" s="54" t="s">
        <v>40</v>
      </c>
      <c r="H531" s="39" t="s">
        <v>672</v>
      </c>
      <c r="I531" s="39"/>
      <c r="J531" s="44">
        <v>299</v>
      </c>
      <c r="K531" s="44"/>
      <c r="L531" s="63">
        <v>299</v>
      </c>
      <c r="M531" s="64" t="s">
        <v>742</v>
      </c>
      <c r="N531" s="2"/>
    </row>
    <row r="532" spans="1:14" ht="14.4">
      <c r="A532" s="42">
        <v>45791</v>
      </c>
      <c r="B532" s="61" t="s">
        <v>1097</v>
      </c>
      <c r="C532" s="39"/>
      <c r="D532" s="20" t="s">
        <v>864</v>
      </c>
      <c r="E532" s="54" t="s">
        <v>447</v>
      </c>
      <c r="F532" s="54" t="s">
        <v>25</v>
      </c>
      <c r="G532" s="10" t="s">
        <v>25</v>
      </c>
      <c r="H532" s="39" t="s">
        <v>266</v>
      </c>
      <c r="I532" s="39"/>
      <c r="J532" s="44">
        <v>1180</v>
      </c>
      <c r="K532" s="44"/>
      <c r="L532" s="63">
        <v>1180</v>
      </c>
      <c r="M532" s="64" t="s">
        <v>480</v>
      </c>
      <c r="N532" s="2"/>
    </row>
    <row r="533" spans="1:14" ht="14.4">
      <c r="A533" s="42">
        <v>45791</v>
      </c>
      <c r="B533" s="61" t="s">
        <v>1629</v>
      </c>
      <c r="C533" s="39" t="s">
        <v>1630</v>
      </c>
      <c r="D533" s="20" t="s">
        <v>1035</v>
      </c>
      <c r="E533" s="54" t="s">
        <v>447</v>
      </c>
      <c r="F533" s="54" t="s">
        <v>40</v>
      </c>
      <c r="G533" s="54" t="s">
        <v>40</v>
      </c>
      <c r="H533" s="39" t="s">
        <v>1371</v>
      </c>
      <c r="I533" s="39"/>
      <c r="J533" s="44">
        <v>45</v>
      </c>
      <c r="K533" s="44"/>
      <c r="L533" s="63">
        <v>45</v>
      </c>
      <c r="M533" s="64" t="s">
        <v>1381</v>
      </c>
      <c r="N533" s="2"/>
    </row>
    <row r="534" spans="1:14" ht="14.4">
      <c r="A534" s="42">
        <v>45791</v>
      </c>
      <c r="B534" s="61" t="s">
        <v>1631</v>
      </c>
      <c r="C534" s="39" t="s">
        <v>1632</v>
      </c>
      <c r="D534" s="20" t="s">
        <v>1033</v>
      </c>
      <c r="E534" s="54" t="s">
        <v>447</v>
      </c>
      <c r="F534" s="54" t="s">
        <v>40</v>
      </c>
      <c r="G534" s="54" t="s">
        <v>40</v>
      </c>
      <c r="H534" s="39" t="s">
        <v>40</v>
      </c>
      <c r="I534" s="39"/>
      <c r="J534" s="44">
        <v>297</v>
      </c>
      <c r="K534" s="44"/>
      <c r="L534" s="63">
        <v>297</v>
      </c>
      <c r="M534" s="64" t="s">
        <v>1381</v>
      </c>
      <c r="N534" s="2"/>
    </row>
    <row r="535" spans="1:14" ht="14.4">
      <c r="A535" s="42">
        <v>45792</v>
      </c>
      <c r="B535" s="61" t="s">
        <v>1633</v>
      </c>
      <c r="C535" s="39" t="s">
        <v>1634</v>
      </c>
      <c r="D535" s="20" t="s">
        <v>446</v>
      </c>
      <c r="E535" s="54" t="s">
        <v>447</v>
      </c>
      <c r="F535" s="54" t="s">
        <v>252</v>
      </c>
      <c r="G535" s="10" t="s">
        <v>23</v>
      </c>
      <c r="H535" s="39" t="s">
        <v>1635</v>
      </c>
      <c r="I535" s="39" t="s">
        <v>1111</v>
      </c>
      <c r="J535" s="44">
        <v>850</v>
      </c>
      <c r="K535" s="44">
        <f t="shared" ref="K535:K536" si="2">L535-J535</f>
        <v>840</v>
      </c>
      <c r="L535" s="63">
        <v>1690</v>
      </c>
      <c r="M535" s="64" t="s">
        <v>742</v>
      </c>
      <c r="N535" s="2"/>
    </row>
    <row r="536" spans="1:14" ht="14.4">
      <c r="A536" s="42">
        <v>45792</v>
      </c>
      <c r="B536" s="61" t="s">
        <v>1636</v>
      </c>
      <c r="C536" s="39" t="s">
        <v>1637</v>
      </c>
      <c r="D536" s="20" t="s">
        <v>1254</v>
      </c>
      <c r="E536" s="54" t="s">
        <v>447</v>
      </c>
      <c r="F536" s="54" t="s">
        <v>252</v>
      </c>
      <c r="G536" s="10" t="s">
        <v>23</v>
      </c>
      <c r="H536" s="39" t="s">
        <v>1638</v>
      </c>
      <c r="I536" s="39" t="s">
        <v>1603</v>
      </c>
      <c r="J536" s="44">
        <v>235</v>
      </c>
      <c r="K536" s="44">
        <f t="shared" si="2"/>
        <v>235</v>
      </c>
      <c r="L536" s="63">
        <v>470</v>
      </c>
      <c r="M536" s="64" t="s">
        <v>742</v>
      </c>
      <c r="N536" s="2"/>
    </row>
    <row r="537" spans="1:14" ht="14.4">
      <c r="A537" s="42">
        <v>45792</v>
      </c>
      <c r="B537" s="61" t="s">
        <v>1639</v>
      </c>
      <c r="C537" s="39" t="s">
        <v>1640</v>
      </c>
      <c r="D537" s="20" t="s">
        <v>502</v>
      </c>
      <c r="E537" s="54" t="s">
        <v>447</v>
      </c>
      <c r="F537" s="54" t="s">
        <v>40</v>
      </c>
      <c r="G537" s="54" t="s">
        <v>40</v>
      </c>
      <c r="H537" s="39" t="s">
        <v>1594</v>
      </c>
      <c r="I537" s="39" t="s">
        <v>1111</v>
      </c>
      <c r="J537" s="44">
        <v>38</v>
      </c>
      <c r="K537" s="44"/>
      <c r="L537" s="63">
        <v>38</v>
      </c>
      <c r="M537" s="64" t="s">
        <v>1381</v>
      </c>
      <c r="N537" s="2"/>
    </row>
    <row r="538" spans="1:14" ht="14.4">
      <c r="A538" s="42">
        <v>45793</v>
      </c>
      <c r="B538" s="61" t="s">
        <v>1641</v>
      </c>
      <c r="C538" s="39" t="s">
        <v>1642</v>
      </c>
      <c r="D538" s="20" t="s">
        <v>1033</v>
      </c>
      <c r="E538" s="54" t="s">
        <v>447</v>
      </c>
      <c r="F538" s="54" t="s">
        <v>40</v>
      </c>
      <c r="G538" s="54" t="s">
        <v>40</v>
      </c>
      <c r="H538" s="39" t="s">
        <v>672</v>
      </c>
      <c r="I538" s="39"/>
      <c r="J538" s="44">
        <v>799</v>
      </c>
      <c r="K538" s="44"/>
      <c r="L538" s="63">
        <v>799</v>
      </c>
      <c r="M538" s="64" t="s">
        <v>742</v>
      </c>
      <c r="N538" s="2"/>
    </row>
    <row r="539" spans="1:14" ht="14.4">
      <c r="A539" s="42">
        <v>45793</v>
      </c>
      <c r="B539" s="61" t="s">
        <v>1643</v>
      </c>
      <c r="C539" s="39" t="s">
        <v>1644</v>
      </c>
      <c r="D539" s="20" t="s">
        <v>864</v>
      </c>
      <c r="E539" s="54" t="s">
        <v>519</v>
      </c>
      <c r="F539" s="54" t="s">
        <v>25</v>
      </c>
      <c r="G539" s="10" t="s">
        <v>25</v>
      </c>
      <c r="H539" s="39" t="s">
        <v>1559</v>
      </c>
      <c r="I539" s="39"/>
      <c r="J539" s="44">
        <v>1050</v>
      </c>
      <c r="K539" s="44"/>
      <c r="L539" s="63">
        <v>1050</v>
      </c>
      <c r="M539" s="64" t="s">
        <v>742</v>
      </c>
      <c r="N539" s="2"/>
    </row>
    <row r="540" spans="1:14" ht="14.4">
      <c r="A540" s="42">
        <v>45793</v>
      </c>
      <c r="B540" s="61" t="s">
        <v>1645</v>
      </c>
      <c r="C540" s="39" t="s">
        <v>1646</v>
      </c>
      <c r="D540" s="20" t="s">
        <v>1033</v>
      </c>
      <c r="E540" s="54" t="s">
        <v>1558</v>
      </c>
      <c r="F540" s="54" t="s">
        <v>40</v>
      </c>
      <c r="G540" s="54" t="s">
        <v>40</v>
      </c>
      <c r="H540" s="39" t="s">
        <v>1647</v>
      </c>
      <c r="I540" s="39"/>
      <c r="J540" s="44">
        <v>190</v>
      </c>
      <c r="K540" s="44"/>
      <c r="L540" s="63">
        <v>190</v>
      </c>
      <c r="M540" s="64" t="s">
        <v>1381</v>
      </c>
      <c r="N540" s="2"/>
    </row>
    <row r="541" spans="1:14" ht="14.4">
      <c r="A541" s="42">
        <v>45794</v>
      </c>
      <c r="B541" s="61" t="s">
        <v>786</v>
      </c>
      <c r="C541" s="39" t="s">
        <v>1648</v>
      </c>
      <c r="D541" s="20" t="s">
        <v>985</v>
      </c>
      <c r="E541" s="54" t="s">
        <v>447</v>
      </c>
      <c r="F541" s="54" t="s">
        <v>22</v>
      </c>
      <c r="G541" s="10" t="s">
        <v>23</v>
      </c>
      <c r="H541" s="39" t="s">
        <v>1054</v>
      </c>
      <c r="I541" s="39" t="s">
        <v>1164</v>
      </c>
      <c r="J541" s="44">
        <v>190</v>
      </c>
      <c r="K541" s="44">
        <f>L541-J541</f>
        <v>179</v>
      </c>
      <c r="L541" s="63">
        <v>369</v>
      </c>
      <c r="M541" s="64" t="s">
        <v>742</v>
      </c>
      <c r="N541" s="2"/>
    </row>
    <row r="542" spans="1:14" ht="14.4">
      <c r="A542" s="42">
        <v>45794</v>
      </c>
      <c r="B542" s="61" t="s">
        <v>1649</v>
      </c>
      <c r="C542" s="39" t="s">
        <v>1650</v>
      </c>
      <c r="D542" s="20" t="s">
        <v>1050</v>
      </c>
      <c r="E542" s="54" t="s">
        <v>447</v>
      </c>
      <c r="F542" s="54" t="s">
        <v>40</v>
      </c>
      <c r="G542" s="54" t="s">
        <v>40</v>
      </c>
      <c r="H542" s="39" t="s">
        <v>1651</v>
      </c>
      <c r="I542" s="39" t="s">
        <v>1446</v>
      </c>
      <c r="J542" s="44">
        <v>500</v>
      </c>
      <c r="K542" s="44"/>
      <c r="L542" s="63">
        <v>500</v>
      </c>
      <c r="M542" s="64" t="s">
        <v>1381</v>
      </c>
      <c r="N542" s="2"/>
    </row>
    <row r="543" spans="1:14" ht="14.4">
      <c r="A543" s="42">
        <v>45794</v>
      </c>
      <c r="B543" s="61" t="s">
        <v>1652</v>
      </c>
      <c r="C543" s="39" t="s">
        <v>1653</v>
      </c>
      <c r="D543" s="20" t="s">
        <v>974</v>
      </c>
      <c r="E543" s="54" t="s">
        <v>447</v>
      </c>
      <c r="F543" s="54" t="s">
        <v>40</v>
      </c>
      <c r="G543" s="54" t="s">
        <v>40</v>
      </c>
      <c r="H543" s="39" t="s">
        <v>1151</v>
      </c>
      <c r="I543" s="39"/>
      <c r="J543" s="44">
        <v>1018.5</v>
      </c>
      <c r="K543" s="44"/>
      <c r="L543" s="63">
        <v>2037</v>
      </c>
      <c r="M543" s="64" t="s">
        <v>1381</v>
      </c>
      <c r="N543" s="2"/>
    </row>
    <row r="544" spans="1:14" ht="14.4">
      <c r="A544" s="42">
        <v>45794</v>
      </c>
      <c r="B544" s="61" t="s">
        <v>1654</v>
      </c>
      <c r="C544" s="39" t="s">
        <v>1655</v>
      </c>
      <c r="D544" s="20" t="s">
        <v>502</v>
      </c>
      <c r="E544" s="54" t="s">
        <v>447</v>
      </c>
      <c r="F544" s="54" t="s">
        <v>33</v>
      </c>
      <c r="G544" s="10" t="s">
        <v>23</v>
      </c>
      <c r="H544" s="39" t="s">
        <v>1594</v>
      </c>
      <c r="I544" s="39" t="s">
        <v>1656</v>
      </c>
      <c r="J544" s="44">
        <v>60</v>
      </c>
      <c r="K544" s="44"/>
      <c r="L544" s="63">
        <v>60</v>
      </c>
      <c r="M544" s="64" t="s">
        <v>1381</v>
      </c>
      <c r="N544" s="2"/>
    </row>
    <row r="545" spans="1:14" ht="14.4">
      <c r="A545" s="42">
        <v>45796</v>
      </c>
      <c r="B545" s="61" t="s">
        <v>1657</v>
      </c>
      <c r="C545" s="39" t="s">
        <v>1658</v>
      </c>
      <c r="D545" s="20" t="s">
        <v>280</v>
      </c>
      <c r="E545" s="54" t="s">
        <v>447</v>
      </c>
      <c r="F545" s="54" t="s">
        <v>252</v>
      </c>
      <c r="G545" s="10" t="s">
        <v>23</v>
      </c>
      <c r="H545" s="39" t="s">
        <v>769</v>
      </c>
      <c r="I545" s="39" t="s">
        <v>1220</v>
      </c>
      <c r="J545" s="44">
        <v>125</v>
      </c>
      <c r="K545" s="44">
        <v>125</v>
      </c>
      <c r="L545" s="63">
        <v>250</v>
      </c>
      <c r="M545" s="64" t="s">
        <v>742</v>
      </c>
      <c r="N545" s="2"/>
    </row>
    <row r="546" spans="1:14" ht="14.4">
      <c r="A546" s="42">
        <v>45796</v>
      </c>
      <c r="B546" s="61" t="s">
        <v>1659</v>
      </c>
      <c r="C546" s="39" t="s">
        <v>1660</v>
      </c>
      <c r="D546" s="20" t="s">
        <v>280</v>
      </c>
      <c r="E546" s="54" t="s">
        <v>447</v>
      </c>
      <c r="F546" s="54" t="s">
        <v>33</v>
      </c>
      <c r="G546" s="10" t="s">
        <v>23</v>
      </c>
      <c r="H546" s="39" t="s">
        <v>1594</v>
      </c>
      <c r="I546" s="39" t="s">
        <v>1446</v>
      </c>
      <c r="J546" s="44">
        <v>50</v>
      </c>
      <c r="K546" s="44"/>
      <c r="L546" s="63">
        <v>50</v>
      </c>
      <c r="M546" s="64" t="s">
        <v>1381</v>
      </c>
      <c r="N546" s="2"/>
    </row>
    <row r="547" spans="1:14" ht="14.4">
      <c r="A547" s="42">
        <v>45796</v>
      </c>
      <c r="B547" s="61" t="s">
        <v>1661</v>
      </c>
      <c r="C547" s="39" t="s">
        <v>1662</v>
      </c>
      <c r="D547" s="20" t="s">
        <v>280</v>
      </c>
      <c r="E547" s="54" t="s">
        <v>447</v>
      </c>
      <c r="F547" s="54" t="s">
        <v>33</v>
      </c>
      <c r="G547" s="10" t="s">
        <v>23</v>
      </c>
      <c r="H547" s="39" t="s">
        <v>1663</v>
      </c>
      <c r="I547" s="39" t="s">
        <v>1173</v>
      </c>
      <c r="J547" s="44">
        <v>60</v>
      </c>
      <c r="K547" s="44"/>
      <c r="L547" s="63">
        <v>60</v>
      </c>
      <c r="M547" s="64" t="s">
        <v>1381</v>
      </c>
      <c r="N547" s="2"/>
    </row>
    <row r="548" spans="1:14" ht="14.4">
      <c r="A548" s="42">
        <v>45796</v>
      </c>
      <c r="B548" s="61" t="s">
        <v>1664</v>
      </c>
      <c r="C548" s="39" t="s">
        <v>1665</v>
      </c>
      <c r="D548" s="20" t="s">
        <v>974</v>
      </c>
      <c r="E548" s="54" t="s">
        <v>447</v>
      </c>
      <c r="F548" s="54" t="s">
        <v>40</v>
      </c>
      <c r="G548" s="54" t="s">
        <v>40</v>
      </c>
      <c r="H548" s="39" t="s">
        <v>1666</v>
      </c>
      <c r="I548" s="39"/>
      <c r="J548" s="44">
        <v>189</v>
      </c>
      <c r="K548" s="44"/>
      <c r="L548" s="63">
        <v>189</v>
      </c>
      <c r="M548" s="64" t="s">
        <v>1381</v>
      </c>
      <c r="N548" s="2"/>
    </row>
    <row r="549" spans="1:14" ht="14.4">
      <c r="A549" s="42">
        <v>45797</v>
      </c>
      <c r="B549" s="61" t="s">
        <v>1667</v>
      </c>
      <c r="C549" s="39" t="s">
        <v>1668</v>
      </c>
      <c r="D549" s="20" t="s">
        <v>280</v>
      </c>
      <c r="E549" s="54" t="s">
        <v>447</v>
      </c>
      <c r="F549" s="54" t="s">
        <v>252</v>
      </c>
      <c r="G549" s="10" t="s">
        <v>23</v>
      </c>
      <c r="H549" s="39" t="s">
        <v>1027</v>
      </c>
      <c r="I549" s="39" t="s">
        <v>1091</v>
      </c>
      <c r="J549" s="44">
        <v>1400</v>
      </c>
      <c r="K549" s="44">
        <v>1400</v>
      </c>
      <c r="L549" s="63">
        <v>2800</v>
      </c>
      <c r="M549" s="64" t="s">
        <v>742</v>
      </c>
      <c r="N549" s="2"/>
    </row>
    <row r="550" spans="1:14" ht="14.4">
      <c r="A550" s="42">
        <v>45797</v>
      </c>
      <c r="B550" s="61" t="s">
        <v>1669</v>
      </c>
      <c r="C550" s="39" t="s">
        <v>1670</v>
      </c>
      <c r="D550" s="20" t="s">
        <v>1033</v>
      </c>
      <c r="E550" s="54" t="s">
        <v>447</v>
      </c>
      <c r="F550" s="54" t="s">
        <v>40</v>
      </c>
      <c r="G550" s="54" t="s">
        <v>40</v>
      </c>
      <c r="H550" s="39" t="s">
        <v>463</v>
      </c>
      <c r="I550" s="39"/>
      <c r="J550" s="44">
        <v>100</v>
      </c>
      <c r="K550" s="44"/>
      <c r="L550" s="63">
        <v>100</v>
      </c>
      <c r="M550" s="64" t="s">
        <v>1381</v>
      </c>
      <c r="N550" s="2"/>
    </row>
    <row r="551" spans="1:14" ht="14.4">
      <c r="A551" s="42">
        <v>45797</v>
      </c>
      <c r="B551" s="61" t="s">
        <v>1671</v>
      </c>
      <c r="C551" s="39" t="s">
        <v>1672</v>
      </c>
      <c r="D551" s="20" t="s">
        <v>985</v>
      </c>
      <c r="E551" s="54" t="s">
        <v>447</v>
      </c>
      <c r="F551" s="54" t="s">
        <v>22</v>
      </c>
      <c r="G551" s="10" t="s">
        <v>23</v>
      </c>
      <c r="H551" s="39" t="s">
        <v>1030</v>
      </c>
      <c r="I551" s="39" t="s">
        <v>1535</v>
      </c>
      <c r="J551" s="44">
        <v>184.5</v>
      </c>
      <c r="K551" s="44">
        <f>L551/2</f>
        <v>184.5</v>
      </c>
      <c r="L551" s="63">
        <v>369</v>
      </c>
      <c r="M551" s="64" t="s">
        <v>742</v>
      </c>
      <c r="N551" s="2"/>
    </row>
    <row r="552" spans="1:14" ht="14.4">
      <c r="A552" s="42">
        <v>45797</v>
      </c>
      <c r="B552" s="61" t="s">
        <v>1673</v>
      </c>
      <c r="C552" s="39" t="s">
        <v>1674</v>
      </c>
      <c r="D552" s="20" t="s">
        <v>1035</v>
      </c>
      <c r="E552" s="54" t="s">
        <v>447</v>
      </c>
      <c r="F552" s="54" t="s">
        <v>40</v>
      </c>
      <c r="G552" s="54" t="s">
        <v>40</v>
      </c>
      <c r="H552" s="39" t="s">
        <v>1371</v>
      </c>
      <c r="I552" s="39"/>
      <c r="J552" s="44">
        <v>150</v>
      </c>
      <c r="K552" s="44"/>
      <c r="L552" s="63">
        <v>150</v>
      </c>
      <c r="M552" s="64" t="s">
        <v>1381</v>
      </c>
      <c r="N552" s="2"/>
    </row>
    <row r="553" spans="1:14" ht="14.4">
      <c r="A553" s="42">
        <v>45797</v>
      </c>
      <c r="B553" s="61" t="s">
        <v>1675</v>
      </c>
      <c r="C553" s="39" t="s">
        <v>1676</v>
      </c>
      <c r="D553" s="20" t="s">
        <v>1035</v>
      </c>
      <c r="E553" s="54" t="s">
        <v>447</v>
      </c>
      <c r="F553" s="54" t="s">
        <v>40</v>
      </c>
      <c r="G553" s="54" t="s">
        <v>40</v>
      </c>
      <c r="H553" s="39" t="s">
        <v>1677</v>
      </c>
      <c r="I553" s="39"/>
      <c r="J553" s="44">
        <v>60</v>
      </c>
      <c r="K553" s="44"/>
      <c r="L553" s="63">
        <v>60</v>
      </c>
      <c r="M553" s="64" t="s">
        <v>1678</v>
      </c>
      <c r="N553" s="2"/>
    </row>
    <row r="554" spans="1:14" ht="14.4">
      <c r="A554" s="42">
        <v>45798</v>
      </c>
      <c r="B554" s="61" t="s">
        <v>1679</v>
      </c>
      <c r="C554" s="39" t="s">
        <v>1680</v>
      </c>
      <c r="D554" s="20" t="s">
        <v>992</v>
      </c>
      <c r="E554" s="54" t="s">
        <v>447</v>
      </c>
      <c r="F554" s="54" t="s">
        <v>56</v>
      </c>
      <c r="G554" s="54" t="s">
        <v>56</v>
      </c>
      <c r="H554" s="39" t="s">
        <v>993</v>
      </c>
      <c r="I554" s="39"/>
      <c r="J554" s="44">
        <v>299</v>
      </c>
      <c r="K554" s="44"/>
      <c r="L554" s="63">
        <v>299</v>
      </c>
      <c r="M554" s="64" t="s">
        <v>1381</v>
      </c>
      <c r="N554" s="2"/>
    </row>
    <row r="555" spans="1:14" ht="14.4">
      <c r="A555" s="42">
        <v>45798</v>
      </c>
      <c r="B555" s="61" t="s">
        <v>1513</v>
      </c>
      <c r="C555" s="39" t="s">
        <v>1681</v>
      </c>
      <c r="D555" s="20" t="s">
        <v>1033</v>
      </c>
      <c r="E555" s="54" t="s">
        <v>519</v>
      </c>
      <c r="F555" s="54" t="s">
        <v>40</v>
      </c>
      <c r="G555" s="54" t="s">
        <v>40</v>
      </c>
      <c r="H555" s="39" t="s">
        <v>1406</v>
      </c>
      <c r="I555" s="39"/>
      <c r="J555" s="44">
        <v>2310</v>
      </c>
      <c r="K555" s="44"/>
      <c r="L555" s="63">
        <v>2310</v>
      </c>
      <c r="M555" s="64" t="s">
        <v>742</v>
      </c>
      <c r="N555" s="2"/>
    </row>
    <row r="556" spans="1:14" ht="14.4">
      <c r="A556" s="42">
        <v>45798</v>
      </c>
      <c r="B556" s="61" t="s">
        <v>1682</v>
      </c>
      <c r="C556" s="39" t="s">
        <v>1683</v>
      </c>
      <c r="D556" s="20" t="s">
        <v>280</v>
      </c>
      <c r="E556" s="54" t="s">
        <v>447</v>
      </c>
      <c r="F556" s="54" t="s">
        <v>33</v>
      </c>
      <c r="G556" s="10" t="s">
        <v>23</v>
      </c>
      <c r="H556" s="39" t="s">
        <v>857</v>
      </c>
      <c r="I556" s="39" t="s">
        <v>1111</v>
      </c>
      <c r="J556" s="44">
        <v>80</v>
      </c>
      <c r="K556" s="44"/>
      <c r="L556" s="63">
        <v>80</v>
      </c>
      <c r="M556" s="64" t="s">
        <v>1678</v>
      </c>
      <c r="N556" s="2"/>
    </row>
    <row r="557" spans="1:14" ht="14.4">
      <c r="A557" s="42">
        <v>45798</v>
      </c>
      <c r="B557" s="61" t="s">
        <v>1684</v>
      </c>
      <c r="C557" s="39" t="s">
        <v>1685</v>
      </c>
      <c r="D557" s="20" t="s">
        <v>1035</v>
      </c>
      <c r="E557" s="54" t="s">
        <v>519</v>
      </c>
      <c r="F557" s="54" t="s">
        <v>40</v>
      </c>
      <c r="G557" s="54" t="s">
        <v>40</v>
      </c>
      <c r="H557" s="39" t="s">
        <v>484</v>
      </c>
      <c r="I557" s="39"/>
      <c r="J557" s="44">
        <v>150</v>
      </c>
      <c r="K557" s="44"/>
      <c r="L557" s="63">
        <v>150</v>
      </c>
      <c r="M557" s="64" t="s">
        <v>1686</v>
      </c>
      <c r="N557" s="2"/>
    </row>
    <row r="558" spans="1:14" ht="14.4">
      <c r="A558" s="42">
        <v>45798</v>
      </c>
      <c r="B558" s="61" t="s">
        <v>1687</v>
      </c>
      <c r="C558" s="39" t="s">
        <v>1688</v>
      </c>
      <c r="D558" s="20" t="s">
        <v>1035</v>
      </c>
      <c r="E558" s="54" t="s">
        <v>447</v>
      </c>
      <c r="F558" s="54" t="s">
        <v>40</v>
      </c>
      <c r="G558" s="54" t="s">
        <v>40</v>
      </c>
      <c r="H558" s="39" t="s">
        <v>484</v>
      </c>
      <c r="I558" s="39"/>
      <c r="J558" s="44">
        <v>60</v>
      </c>
      <c r="K558" s="44"/>
      <c r="L558" s="63">
        <v>60</v>
      </c>
      <c r="M558" s="64" t="s">
        <v>1686</v>
      </c>
      <c r="N558" s="2"/>
    </row>
    <row r="559" spans="1:14" ht="15" customHeight="1">
      <c r="A559" s="42">
        <v>45799</v>
      </c>
      <c r="B559" s="61" t="s">
        <v>1684</v>
      </c>
      <c r="C559" s="39" t="s">
        <v>1689</v>
      </c>
      <c r="D559" s="20" t="s">
        <v>1035</v>
      </c>
      <c r="E559" s="54"/>
      <c r="F559" s="54" t="s">
        <v>40</v>
      </c>
      <c r="G559" s="54" t="s">
        <v>40</v>
      </c>
      <c r="H559" s="39" t="s">
        <v>484</v>
      </c>
      <c r="I559" s="39"/>
      <c r="J559" s="44">
        <v>192</v>
      </c>
      <c r="K559" s="44"/>
      <c r="L559" s="63">
        <v>192</v>
      </c>
      <c r="M559" s="64" t="s">
        <v>480</v>
      </c>
      <c r="N559" s="2"/>
    </row>
    <row r="560" spans="1:14" ht="14.4">
      <c r="A560" s="42">
        <v>45799</v>
      </c>
      <c r="B560" s="61" t="s">
        <v>1690</v>
      </c>
      <c r="C560" s="39" t="s">
        <v>1691</v>
      </c>
      <c r="D560" s="20" t="s">
        <v>1035</v>
      </c>
      <c r="E560" s="54" t="s">
        <v>447</v>
      </c>
      <c r="F560" s="54" t="s">
        <v>40</v>
      </c>
      <c r="G560" s="54" t="s">
        <v>40</v>
      </c>
      <c r="H560" s="39" t="s">
        <v>672</v>
      </c>
      <c r="I560" s="39"/>
      <c r="J560" s="44">
        <v>190</v>
      </c>
      <c r="K560" s="44">
        <v>760</v>
      </c>
      <c r="L560" s="63">
        <v>950</v>
      </c>
      <c r="M560" s="64" t="s">
        <v>645</v>
      </c>
      <c r="N560" s="2"/>
    </row>
    <row r="561" spans="1:14" ht="14.4">
      <c r="A561" s="42">
        <v>45799</v>
      </c>
      <c r="B561" s="61" t="s">
        <v>1692</v>
      </c>
      <c r="C561" s="39" t="s">
        <v>1693</v>
      </c>
      <c r="D561" s="20" t="s">
        <v>1254</v>
      </c>
      <c r="E561" s="54" t="s">
        <v>519</v>
      </c>
      <c r="F561" s="54" t="s">
        <v>33</v>
      </c>
      <c r="G561" s="10" t="s">
        <v>23</v>
      </c>
      <c r="H561" s="39" t="s">
        <v>1694</v>
      </c>
      <c r="I561" s="39" t="s">
        <v>1091</v>
      </c>
      <c r="J561" s="44">
        <v>200</v>
      </c>
      <c r="K561" s="44">
        <v>200</v>
      </c>
      <c r="L561" s="63">
        <v>400</v>
      </c>
      <c r="M561" s="64" t="s">
        <v>742</v>
      </c>
      <c r="N561" s="2"/>
    </row>
    <row r="562" spans="1:14" ht="14.4">
      <c r="A562" s="42">
        <v>45799</v>
      </c>
      <c r="B562" s="61" t="s">
        <v>1695</v>
      </c>
      <c r="C562" s="39" t="s">
        <v>1696</v>
      </c>
      <c r="D562" s="20" t="s">
        <v>1035</v>
      </c>
      <c r="E562" s="54" t="s">
        <v>447</v>
      </c>
      <c r="F562" s="54" t="s">
        <v>40</v>
      </c>
      <c r="G562" s="54" t="s">
        <v>40</v>
      </c>
      <c r="H562" s="39" t="s">
        <v>1697</v>
      </c>
      <c r="I562" s="39"/>
      <c r="J562" s="44">
        <v>320</v>
      </c>
      <c r="K562" s="44"/>
      <c r="L562" s="63">
        <v>320</v>
      </c>
      <c r="M562" s="64" t="s">
        <v>742</v>
      </c>
      <c r="N562" s="2"/>
    </row>
    <row r="563" spans="1:14" ht="14.4">
      <c r="A563" s="42">
        <v>45799</v>
      </c>
      <c r="B563" s="61" t="s">
        <v>1684</v>
      </c>
      <c r="C563" s="39" t="s">
        <v>1689</v>
      </c>
      <c r="D563" s="20" t="s">
        <v>1035</v>
      </c>
      <c r="E563" s="54"/>
      <c r="F563" s="54" t="s">
        <v>463</v>
      </c>
      <c r="G563" s="54" t="s">
        <v>40</v>
      </c>
      <c r="H563" s="39" t="s">
        <v>484</v>
      </c>
      <c r="I563" s="39"/>
      <c r="J563" s="44">
        <v>75</v>
      </c>
      <c r="K563" s="44"/>
      <c r="L563" s="63">
        <v>75</v>
      </c>
      <c r="M563" s="64" t="s">
        <v>480</v>
      </c>
      <c r="N563" s="2"/>
    </row>
    <row r="564" spans="1:14" ht="14.4">
      <c r="A564" s="42">
        <v>45799</v>
      </c>
      <c r="B564" s="61" t="s">
        <v>1698</v>
      </c>
      <c r="C564" s="39" t="s">
        <v>1699</v>
      </c>
      <c r="D564" s="20" t="s">
        <v>1254</v>
      </c>
      <c r="E564" s="54" t="s">
        <v>447</v>
      </c>
      <c r="F564" s="54" t="s">
        <v>33</v>
      </c>
      <c r="G564" s="10" t="s">
        <v>23</v>
      </c>
      <c r="H564" s="39" t="s">
        <v>1700</v>
      </c>
      <c r="I564" s="39" t="s">
        <v>1111</v>
      </c>
      <c r="J564" s="44">
        <v>60</v>
      </c>
      <c r="K564" s="44"/>
      <c r="L564" s="63">
        <v>60</v>
      </c>
      <c r="M564" s="64" t="s">
        <v>1381</v>
      </c>
      <c r="N564" s="2"/>
    </row>
    <row r="565" spans="1:14" ht="14.4">
      <c r="A565" s="42">
        <v>45799</v>
      </c>
      <c r="B565" s="61" t="s">
        <v>1701</v>
      </c>
      <c r="C565" s="39" t="s">
        <v>1702</v>
      </c>
      <c r="D565" s="20" t="s">
        <v>1035</v>
      </c>
      <c r="E565" s="54" t="s">
        <v>447</v>
      </c>
      <c r="F565" s="54" t="s">
        <v>1703</v>
      </c>
      <c r="G565" s="54" t="s">
        <v>40</v>
      </c>
      <c r="H565" s="39" t="s">
        <v>1704</v>
      </c>
      <c r="I565" s="39"/>
      <c r="J565" s="44">
        <v>60</v>
      </c>
      <c r="K565" s="44"/>
      <c r="L565" s="63">
        <v>100</v>
      </c>
      <c r="M565" s="64" t="s">
        <v>1678</v>
      </c>
      <c r="N565" s="2"/>
    </row>
    <row r="566" spans="1:14" ht="14.4">
      <c r="A566" s="42">
        <v>45799</v>
      </c>
      <c r="B566" s="61" t="s">
        <v>1705</v>
      </c>
      <c r="C566" s="39" t="s">
        <v>1706</v>
      </c>
      <c r="D566" s="20" t="s">
        <v>280</v>
      </c>
      <c r="E566" s="54" t="s">
        <v>447</v>
      </c>
      <c r="F566" s="54" t="s">
        <v>33</v>
      </c>
      <c r="G566" s="10" t="s">
        <v>23</v>
      </c>
      <c r="H566" s="39" t="s">
        <v>857</v>
      </c>
      <c r="I566" s="39" t="s">
        <v>1085</v>
      </c>
      <c r="J566" s="44">
        <v>50</v>
      </c>
      <c r="K566" s="44"/>
      <c r="L566" s="63">
        <v>50</v>
      </c>
      <c r="M566" s="64" t="s">
        <v>1678</v>
      </c>
      <c r="N566" s="2"/>
    </row>
    <row r="567" spans="1:14" ht="14.4">
      <c r="A567" s="42">
        <v>45799</v>
      </c>
      <c r="B567" s="61" t="s">
        <v>1707</v>
      </c>
      <c r="C567" s="39" t="s">
        <v>1708</v>
      </c>
      <c r="D567" s="20" t="s">
        <v>974</v>
      </c>
      <c r="E567" s="54" t="s">
        <v>447</v>
      </c>
      <c r="F567" s="54" t="s">
        <v>487</v>
      </c>
      <c r="G567" s="54" t="s">
        <v>40</v>
      </c>
      <c r="H567" s="39" t="s">
        <v>1709</v>
      </c>
      <c r="I567" s="39"/>
      <c r="J567" s="44">
        <v>350</v>
      </c>
      <c r="K567" s="44"/>
      <c r="L567" s="63">
        <v>350</v>
      </c>
      <c r="M567" s="64" t="s">
        <v>1678</v>
      </c>
      <c r="N567" s="2"/>
    </row>
    <row r="568" spans="1:14" ht="14.4">
      <c r="A568" s="42">
        <v>45799</v>
      </c>
      <c r="B568" s="61" t="s">
        <v>1710</v>
      </c>
      <c r="C568" s="39" t="s">
        <v>1711</v>
      </c>
      <c r="D568" s="20" t="s">
        <v>502</v>
      </c>
      <c r="E568" s="54" t="s">
        <v>447</v>
      </c>
      <c r="F568" s="54" t="s">
        <v>33</v>
      </c>
      <c r="G568" s="10" t="s">
        <v>23</v>
      </c>
      <c r="H568" s="39" t="s">
        <v>1594</v>
      </c>
      <c r="I568" s="39" t="s">
        <v>1060</v>
      </c>
      <c r="J568" s="44">
        <v>80</v>
      </c>
      <c r="K568" s="44"/>
      <c r="L568" s="63">
        <v>80</v>
      </c>
      <c r="M568" s="64" t="s">
        <v>1381</v>
      </c>
      <c r="N568" s="2"/>
    </row>
    <row r="569" spans="1:14" ht="14.4">
      <c r="A569" s="42">
        <v>45799</v>
      </c>
      <c r="B569" s="61" t="s">
        <v>1712</v>
      </c>
      <c r="C569" s="39" t="s">
        <v>1713</v>
      </c>
      <c r="D569" s="20" t="s">
        <v>502</v>
      </c>
      <c r="E569" s="54" t="s">
        <v>447</v>
      </c>
      <c r="F569" s="54" t="s">
        <v>33</v>
      </c>
      <c r="G569" s="10" t="s">
        <v>23</v>
      </c>
      <c r="H569" s="39" t="s">
        <v>1594</v>
      </c>
      <c r="I569" s="39" t="s">
        <v>1164</v>
      </c>
      <c r="J569" s="44">
        <v>80</v>
      </c>
      <c r="K569" s="44"/>
      <c r="L569" s="63">
        <v>80</v>
      </c>
      <c r="M569" s="64" t="s">
        <v>1381</v>
      </c>
      <c r="N569" s="2"/>
    </row>
    <row r="570" spans="1:14" ht="14.4">
      <c r="A570" s="42">
        <v>45799</v>
      </c>
      <c r="B570" s="61" t="s">
        <v>1714</v>
      </c>
      <c r="C570" s="39" t="s">
        <v>1715</v>
      </c>
      <c r="D570" s="20" t="s">
        <v>1033</v>
      </c>
      <c r="E570" s="54" t="s">
        <v>447</v>
      </c>
      <c r="F570" s="54" t="s">
        <v>487</v>
      </c>
      <c r="G570" s="54" t="s">
        <v>40</v>
      </c>
      <c r="H570" s="39" t="s">
        <v>1716</v>
      </c>
      <c r="I570" s="39"/>
      <c r="J570" s="44">
        <v>669</v>
      </c>
      <c r="K570" s="44"/>
      <c r="L570" s="63">
        <v>669</v>
      </c>
      <c r="M570" s="64" t="s">
        <v>645</v>
      </c>
      <c r="N570" s="2"/>
    </row>
    <row r="571" spans="1:14" ht="14.4">
      <c r="A571" s="42">
        <v>45799</v>
      </c>
      <c r="B571" s="61" t="s">
        <v>1717</v>
      </c>
      <c r="C571" s="39" t="s">
        <v>660</v>
      </c>
      <c r="D571" s="20" t="s">
        <v>1033</v>
      </c>
      <c r="E571" s="54" t="s">
        <v>447</v>
      </c>
      <c r="F571" s="54" t="s">
        <v>487</v>
      </c>
      <c r="G571" s="54" t="s">
        <v>40</v>
      </c>
      <c r="H571" s="39" t="s">
        <v>1406</v>
      </c>
      <c r="I571" s="39"/>
      <c r="J571" s="44">
        <v>2310</v>
      </c>
      <c r="K571" s="44"/>
      <c r="L571" s="63">
        <v>2310</v>
      </c>
      <c r="M571" s="64" t="s">
        <v>480</v>
      </c>
      <c r="N571" s="2"/>
    </row>
    <row r="572" spans="1:14" ht="14.4">
      <c r="A572" s="42">
        <v>45800</v>
      </c>
      <c r="B572" s="61" t="s">
        <v>1718</v>
      </c>
      <c r="C572" s="39" t="s">
        <v>1719</v>
      </c>
      <c r="D572" s="20" t="s">
        <v>1035</v>
      </c>
      <c r="E572" s="54" t="s">
        <v>519</v>
      </c>
      <c r="F572" s="54" t="s">
        <v>463</v>
      </c>
      <c r="G572" s="54" t="s">
        <v>40</v>
      </c>
      <c r="H572" s="39" t="s">
        <v>1393</v>
      </c>
      <c r="I572" s="39"/>
      <c r="J572" s="44">
        <v>50</v>
      </c>
      <c r="K572" s="44"/>
      <c r="L572" s="63">
        <v>50</v>
      </c>
      <c r="M572" s="64" t="s">
        <v>742</v>
      </c>
      <c r="N572" s="2"/>
    </row>
    <row r="573" spans="1:14" ht="14.4">
      <c r="A573" s="42">
        <v>45800</v>
      </c>
      <c r="B573" s="61" t="s">
        <v>1720</v>
      </c>
      <c r="C573" s="39" t="s">
        <v>1721</v>
      </c>
      <c r="D573" s="20" t="s">
        <v>280</v>
      </c>
      <c r="E573" s="54" t="s">
        <v>519</v>
      </c>
      <c r="F573" s="54" t="s">
        <v>33</v>
      </c>
      <c r="G573" s="10" t="s">
        <v>23</v>
      </c>
      <c r="H573" s="39" t="s">
        <v>919</v>
      </c>
      <c r="I573" s="39" t="s">
        <v>1325</v>
      </c>
      <c r="J573" s="44">
        <v>50</v>
      </c>
      <c r="K573" s="44"/>
      <c r="L573" s="63">
        <v>50</v>
      </c>
      <c r="M573" s="64" t="s">
        <v>1686</v>
      </c>
      <c r="N573" s="2"/>
    </row>
    <row r="574" spans="1:14" ht="14.4">
      <c r="A574" s="42">
        <v>45800</v>
      </c>
      <c r="B574" s="61" t="s">
        <v>1722</v>
      </c>
      <c r="C574" s="39" t="s">
        <v>1723</v>
      </c>
      <c r="D574" s="20" t="s">
        <v>1033</v>
      </c>
      <c r="E574" s="54" t="s">
        <v>519</v>
      </c>
      <c r="F574" s="54" t="s">
        <v>463</v>
      </c>
      <c r="G574" s="54" t="s">
        <v>40</v>
      </c>
      <c r="H574" s="39" t="s">
        <v>1724</v>
      </c>
      <c r="I574" s="39"/>
      <c r="J574" s="44">
        <v>185</v>
      </c>
      <c r="K574" s="44"/>
      <c r="L574" s="63">
        <v>185</v>
      </c>
      <c r="M574" s="64" t="s">
        <v>742</v>
      </c>
      <c r="N574" s="2"/>
    </row>
    <row r="575" spans="1:14" ht="14.4">
      <c r="A575" s="42">
        <v>45800</v>
      </c>
      <c r="B575" s="61" t="s">
        <v>1725</v>
      </c>
      <c r="C575" s="39" t="s">
        <v>1726</v>
      </c>
      <c r="D575" s="20" t="s">
        <v>974</v>
      </c>
      <c r="E575" s="54" t="s">
        <v>519</v>
      </c>
      <c r="F575" s="54" t="s">
        <v>463</v>
      </c>
      <c r="G575" s="54" t="s">
        <v>40</v>
      </c>
      <c r="H575" s="39" t="s">
        <v>1727</v>
      </c>
      <c r="I575" s="39"/>
      <c r="J575" s="44">
        <v>80</v>
      </c>
      <c r="K575" s="44"/>
      <c r="L575" s="63">
        <v>80</v>
      </c>
      <c r="M575" s="64" t="s">
        <v>1686</v>
      </c>
      <c r="N575" s="2"/>
    </row>
    <row r="576" spans="1:14" ht="14.4">
      <c r="A576" s="42">
        <v>45800</v>
      </c>
      <c r="B576" s="61" t="s">
        <v>1728</v>
      </c>
      <c r="C576" s="39" t="s">
        <v>1569</v>
      </c>
      <c r="D576" s="20" t="s">
        <v>1033</v>
      </c>
      <c r="E576" s="54" t="s">
        <v>447</v>
      </c>
      <c r="F576" s="54" t="s">
        <v>487</v>
      </c>
      <c r="G576" s="54" t="s">
        <v>40</v>
      </c>
      <c r="H576" s="39" t="s">
        <v>1729</v>
      </c>
      <c r="I576" s="39"/>
      <c r="J576" s="44">
        <v>1000</v>
      </c>
      <c r="K576" s="44"/>
      <c r="L576" s="63">
        <v>1000</v>
      </c>
      <c r="M576" s="64" t="s">
        <v>742</v>
      </c>
      <c r="N576" s="2"/>
    </row>
    <row r="577" spans="1:14" ht="14.4">
      <c r="A577" s="42">
        <v>45800</v>
      </c>
      <c r="B577" s="61" t="s">
        <v>1730</v>
      </c>
      <c r="C577" s="39" t="s">
        <v>1731</v>
      </c>
      <c r="D577" s="20" t="s">
        <v>1033</v>
      </c>
      <c r="E577" s="54" t="s">
        <v>447</v>
      </c>
      <c r="F577" s="54" t="s">
        <v>463</v>
      </c>
      <c r="G577" s="54" t="s">
        <v>40</v>
      </c>
      <c r="H577" s="39" t="s">
        <v>1724</v>
      </c>
      <c r="I577" s="39"/>
      <c r="J577" s="44">
        <v>185</v>
      </c>
      <c r="K577" s="44"/>
      <c r="L577" s="63">
        <v>185</v>
      </c>
      <c r="M577" s="64" t="s">
        <v>742</v>
      </c>
      <c r="N577" s="2"/>
    </row>
    <row r="578" spans="1:14" ht="14.4">
      <c r="A578" s="42">
        <v>45800</v>
      </c>
      <c r="B578" s="61" t="s">
        <v>1732</v>
      </c>
      <c r="C578" s="39" t="s">
        <v>1733</v>
      </c>
      <c r="D578" s="20" t="s">
        <v>1035</v>
      </c>
      <c r="E578" s="54" t="s">
        <v>447</v>
      </c>
      <c r="F578" s="54" t="s">
        <v>463</v>
      </c>
      <c r="G578" s="54" t="s">
        <v>40</v>
      </c>
      <c r="H578" s="39" t="s">
        <v>1724</v>
      </c>
      <c r="I578" s="39"/>
      <c r="J578" s="44">
        <v>100</v>
      </c>
      <c r="K578" s="44"/>
      <c r="L578" s="63">
        <v>100</v>
      </c>
      <c r="M578" s="64" t="s">
        <v>1678</v>
      </c>
      <c r="N578" s="2"/>
    </row>
    <row r="579" spans="1:14" ht="14.4">
      <c r="A579" s="42">
        <v>45800</v>
      </c>
      <c r="B579" s="61" t="s">
        <v>1734</v>
      </c>
      <c r="C579" s="39" t="s">
        <v>1735</v>
      </c>
      <c r="D579" s="20" t="s">
        <v>992</v>
      </c>
      <c r="E579" s="54" t="s">
        <v>447</v>
      </c>
      <c r="F579" s="54" t="s">
        <v>56</v>
      </c>
      <c r="G579" s="54" t="s">
        <v>56</v>
      </c>
      <c r="H579" s="39" t="s">
        <v>1736</v>
      </c>
      <c r="I579" s="39"/>
      <c r="J579" s="44">
        <v>514.01</v>
      </c>
      <c r="K579" s="44"/>
      <c r="L579" s="63">
        <v>514.01</v>
      </c>
      <c r="M579" s="64" t="s">
        <v>645</v>
      </c>
      <c r="N579" s="2"/>
    </row>
    <row r="580" spans="1:14" ht="14.4">
      <c r="A580" s="42">
        <v>45801</v>
      </c>
      <c r="B580" s="61" t="s">
        <v>1725</v>
      </c>
      <c r="C580" s="39" t="s">
        <v>1726</v>
      </c>
      <c r="D580" s="20" t="s">
        <v>974</v>
      </c>
      <c r="E580" s="54" t="s">
        <v>519</v>
      </c>
      <c r="F580" s="54" t="s">
        <v>487</v>
      </c>
      <c r="G580" s="54" t="s">
        <v>40</v>
      </c>
      <c r="H580" s="39" t="s">
        <v>1737</v>
      </c>
      <c r="I580" s="39"/>
      <c r="J580" s="44">
        <v>190</v>
      </c>
      <c r="K580" s="44">
        <v>190</v>
      </c>
      <c r="L580" s="63">
        <v>380</v>
      </c>
      <c r="M580" s="64" t="s">
        <v>1686</v>
      </c>
      <c r="N580" s="2"/>
    </row>
    <row r="581" spans="1:14" ht="14.4">
      <c r="A581" s="42">
        <v>45801</v>
      </c>
      <c r="B581" s="61" t="s">
        <v>1698</v>
      </c>
      <c r="C581" s="39" t="s">
        <v>1699</v>
      </c>
      <c r="D581" s="20" t="s">
        <v>1254</v>
      </c>
      <c r="E581" s="54" t="s">
        <v>447</v>
      </c>
      <c r="F581" s="54" t="s">
        <v>33</v>
      </c>
      <c r="G581" s="10" t="s">
        <v>23</v>
      </c>
      <c r="H581" s="39" t="s">
        <v>1738</v>
      </c>
      <c r="I581" s="39" t="s">
        <v>1111</v>
      </c>
      <c r="J581" s="44">
        <v>620</v>
      </c>
      <c r="K581" s="44"/>
      <c r="L581" s="63">
        <v>620</v>
      </c>
      <c r="M581" s="64" t="s">
        <v>1381</v>
      </c>
      <c r="N581" s="2"/>
    </row>
    <row r="582" spans="1:14" ht="14.4">
      <c r="A582" s="42">
        <v>45801</v>
      </c>
      <c r="B582" s="61" t="s">
        <v>1710</v>
      </c>
      <c r="C582" s="39" t="s">
        <v>1711</v>
      </c>
      <c r="D582" s="20" t="s">
        <v>502</v>
      </c>
      <c r="E582" s="54" t="s">
        <v>447</v>
      </c>
      <c r="F582" s="54" t="s">
        <v>33</v>
      </c>
      <c r="G582" s="10" t="s">
        <v>23</v>
      </c>
      <c r="H582" s="39" t="s">
        <v>1739</v>
      </c>
      <c r="I582" s="39" t="s">
        <v>1060</v>
      </c>
      <c r="J582" s="44">
        <v>490</v>
      </c>
      <c r="K582" s="44"/>
      <c r="L582" s="63">
        <v>490</v>
      </c>
      <c r="M582" s="64" t="s">
        <v>1381</v>
      </c>
      <c r="N582" s="2"/>
    </row>
    <row r="583" spans="1:14" ht="14.4">
      <c r="A583" s="42">
        <v>45801</v>
      </c>
      <c r="B583" s="61" t="s">
        <v>1732</v>
      </c>
      <c r="C583" s="39" t="s">
        <v>1733</v>
      </c>
      <c r="D583" s="20" t="s">
        <v>1035</v>
      </c>
      <c r="E583" s="54" t="s">
        <v>447</v>
      </c>
      <c r="F583" s="54" t="s">
        <v>463</v>
      </c>
      <c r="G583" s="54" t="s">
        <v>40</v>
      </c>
      <c r="H583" s="39" t="s">
        <v>1724</v>
      </c>
      <c r="I583" s="39"/>
      <c r="J583" s="44">
        <v>100</v>
      </c>
      <c r="K583" s="44"/>
      <c r="L583" s="63">
        <v>100</v>
      </c>
      <c r="M583" s="64" t="s">
        <v>1678</v>
      </c>
      <c r="N583" s="2"/>
    </row>
    <row r="584" spans="1:14" ht="14.4">
      <c r="A584" s="42">
        <v>45803</v>
      </c>
      <c r="B584" s="61" t="s">
        <v>1740</v>
      </c>
      <c r="C584" s="39" t="s">
        <v>1741</v>
      </c>
      <c r="D584" s="20" t="s">
        <v>1033</v>
      </c>
      <c r="E584" s="54" t="s">
        <v>447</v>
      </c>
      <c r="F584" s="54" t="s">
        <v>463</v>
      </c>
      <c r="G584" s="54" t="s">
        <v>40</v>
      </c>
      <c r="H584" s="39" t="s">
        <v>1724</v>
      </c>
      <c r="I584" s="39"/>
      <c r="J584" s="44">
        <v>150</v>
      </c>
      <c r="K584" s="44"/>
      <c r="L584" s="63">
        <v>150</v>
      </c>
      <c r="M584" s="64" t="s">
        <v>742</v>
      </c>
      <c r="N584" s="2"/>
    </row>
    <row r="585" spans="1:14" ht="14.4">
      <c r="A585" s="42">
        <v>45803</v>
      </c>
      <c r="B585" s="61" t="s">
        <v>1742</v>
      </c>
      <c r="C585" s="39" t="s">
        <v>1743</v>
      </c>
      <c r="D585" s="20" t="s">
        <v>502</v>
      </c>
      <c r="E585" s="54" t="s">
        <v>447</v>
      </c>
      <c r="F585" s="54" t="s">
        <v>33</v>
      </c>
      <c r="G585" s="10" t="s">
        <v>23</v>
      </c>
      <c r="H585" s="39" t="s">
        <v>886</v>
      </c>
      <c r="I585" s="39" t="s">
        <v>1091</v>
      </c>
      <c r="J585" s="44">
        <v>80</v>
      </c>
      <c r="K585" s="44"/>
      <c r="L585" s="63">
        <v>80</v>
      </c>
      <c r="M585" s="64" t="s">
        <v>742</v>
      </c>
      <c r="N585" s="2"/>
    </row>
    <row r="586" spans="1:14" ht="14.4">
      <c r="A586" s="42">
        <v>45801</v>
      </c>
      <c r="B586" s="61" t="s">
        <v>1687</v>
      </c>
      <c r="C586" s="39" t="s">
        <v>1688</v>
      </c>
      <c r="D586" s="20" t="s">
        <v>1035</v>
      </c>
      <c r="E586" s="54" t="s">
        <v>519</v>
      </c>
      <c r="F586" s="54" t="s">
        <v>487</v>
      </c>
      <c r="G586" s="54" t="s">
        <v>40</v>
      </c>
      <c r="H586" s="39" t="s">
        <v>1744</v>
      </c>
      <c r="I586" s="39"/>
      <c r="J586" s="44">
        <v>420</v>
      </c>
      <c r="K586" s="44"/>
      <c r="L586" s="63">
        <v>420</v>
      </c>
      <c r="M586" s="64" t="s">
        <v>1686</v>
      </c>
      <c r="N586" s="2"/>
    </row>
    <row r="587" spans="1:14" ht="14.4">
      <c r="A587" s="42">
        <v>45803</v>
      </c>
      <c r="B587" s="61" t="s">
        <v>1745</v>
      </c>
      <c r="C587" s="39" t="s">
        <v>1746</v>
      </c>
      <c r="D587" s="20" t="s">
        <v>1035</v>
      </c>
      <c r="E587" s="54" t="s">
        <v>447</v>
      </c>
      <c r="F587" s="54" t="s">
        <v>487</v>
      </c>
      <c r="G587" s="54" t="s">
        <v>40</v>
      </c>
      <c r="H587" s="39" t="s">
        <v>1747</v>
      </c>
      <c r="I587" s="39"/>
      <c r="J587" s="44">
        <v>460</v>
      </c>
      <c r="K587" s="44"/>
      <c r="L587" s="63">
        <v>460</v>
      </c>
      <c r="M587" s="64" t="s">
        <v>1381</v>
      </c>
      <c r="N587" s="2"/>
    </row>
    <row r="588" spans="1:14" ht="14.4">
      <c r="A588" s="42">
        <v>45803</v>
      </c>
      <c r="B588" s="61" t="s">
        <v>1748</v>
      </c>
      <c r="C588" s="39" t="s">
        <v>1749</v>
      </c>
      <c r="D588" s="20" t="s">
        <v>446</v>
      </c>
      <c r="E588" s="54" t="s">
        <v>447</v>
      </c>
      <c r="F588" s="54" t="s">
        <v>33</v>
      </c>
      <c r="G588" s="10" t="s">
        <v>23</v>
      </c>
      <c r="H588" s="39" t="s">
        <v>919</v>
      </c>
      <c r="I588" s="39" t="s">
        <v>1055</v>
      </c>
      <c r="J588" s="44">
        <v>50</v>
      </c>
      <c r="K588" s="44"/>
      <c r="L588" s="44">
        <v>50</v>
      </c>
      <c r="M588" s="64" t="s">
        <v>1678</v>
      </c>
      <c r="N588" s="2"/>
    </row>
    <row r="589" spans="1:14" ht="14.4">
      <c r="A589" s="42">
        <v>45803</v>
      </c>
      <c r="B589" s="61" t="s">
        <v>1750</v>
      </c>
      <c r="C589" s="39" t="s">
        <v>1751</v>
      </c>
      <c r="D589" s="20" t="s">
        <v>1306</v>
      </c>
      <c r="E589" s="54" t="s">
        <v>447</v>
      </c>
      <c r="F589" s="54" t="s">
        <v>294</v>
      </c>
      <c r="G589" s="54" t="s">
        <v>294</v>
      </c>
      <c r="H589" s="39" t="s">
        <v>1752</v>
      </c>
      <c r="I589" s="39"/>
      <c r="J589" s="44">
        <v>210</v>
      </c>
      <c r="K589" s="44"/>
      <c r="L589" s="44">
        <v>210</v>
      </c>
      <c r="M589" s="64" t="s">
        <v>1678</v>
      </c>
      <c r="N589" s="2"/>
    </row>
    <row r="590" spans="1:14" ht="14.4">
      <c r="A590" s="42">
        <v>45803</v>
      </c>
      <c r="B590" s="61" t="s">
        <v>1753</v>
      </c>
      <c r="C590" s="39" t="s">
        <v>1754</v>
      </c>
      <c r="D590" s="20" t="s">
        <v>1050</v>
      </c>
      <c r="E590" s="54" t="s">
        <v>447</v>
      </c>
      <c r="F590" s="54" t="s">
        <v>487</v>
      </c>
      <c r="G590" s="54" t="s">
        <v>40</v>
      </c>
      <c r="H590" s="39" t="s">
        <v>1755</v>
      </c>
      <c r="I590" s="39"/>
      <c r="J590" s="44">
        <v>380</v>
      </c>
      <c r="K590" s="44"/>
      <c r="L590" s="63">
        <v>380</v>
      </c>
      <c r="M590" s="64" t="s">
        <v>1381</v>
      </c>
      <c r="N590" s="2"/>
    </row>
    <row r="591" spans="1:14" ht="14.4">
      <c r="A591" s="42">
        <v>45803</v>
      </c>
      <c r="B591" s="61" t="s">
        <v>1756</v>
      </c>
      <c r="C591" s="39" t="s">
        <v>1757</v>
      </c>
      <c r="D591" s="20" t="s">
        <v>446</v>
      </c>
      <c r="E591" s="54" t="s">
        <v>447</v>
      </c>
      <c r="F591" s="54" t="s">
        <v>252</v>
      </c>
      <c r="G591" s="10" t="s">
        <v>23</v>
      </c>
      <c r="H591" s="39" t="s">
        <v>1758</v>
      </c>
      <c r="I591" s="39" t="s">
        <v>1759</v>
      </c>
      <c r="J591" s="44">
        <v>595</v>
      </c>
      <c r="K591" s="44">
        <v>595</v>
      </c>
      <c r="L591" s="63">
        <v>1190</v>
      </c>
      <c r="M591" s="64" t="s">
        <v>742</v>
      </c>
      <c r="N591" s="2"/>
    </row>
    <row r="592" spans="1:14" ht="14.4">
      <c r="A592" s="42">
        <v>45803</v>
      </c>
      <c r="B592" s="61" t="s">
        <v>1760</v>
      </c>
      <c r="C592" s="39" t="s">
        <v>1761</v>
      </c>
      <c r="D592" s="20" t="s">
        <v>446</v>
      </c>
      <c r="E592" s="54" t="s">
        <v>519</v>
      </c>
      <c r="F592" s="54" t="s">
        <v>33</v>
      </c>
      <c r="G592" s="10" t="s">
        <v>23</v>
      </c>
      <c r="H592" s="39" t="s">
        <v>503</v>
      </c>
      <c r="I592" s="39" t="s">
        <v>1091</v>
      </c>
      <c r="J592" s="44">
        <v>40</v>
      </c>
      <c r="K592" s="44">
        <v>40</v>
      </c>
      <c r="L592" s="63">
        <v>80</v>
      </c>
      <c r="M592" s="64" t="s">
        <v>1686</v>
      </c>
      <c r="N592" s="2"/>
    </row>
    <row r="593" spans="1:14" ht="14.4">
      <c r="A593" s="42">
        <v>45804</v>
      </c>
      <c r="B593" s="61" t="s">
        <v>1762</v>
      </c>
      <c r="C593" s="39" t="s">
        <v>1763</v>
      </c>
      <c r="D593" s="20" t="s">
        <v>985</v>
      </c>
      <c r="E593" s="54" t="s">
        <v>519</v>
      </c>
      <c r="F593" s="54" t="s">
        <v>22</v>
      </c>
      <c r="G593" s="10" t="s">
        <v>23</v>
      </c>
      <c r="H593" s="39" t="s">
        <v>1019</v>
      </c>
      <c r="I593" s="39" t="s">
        <v>1105</v>
      </c>
      <c r="J593" s="44">
        <v>135</v>
      </c>
      <c r="K593" s="44">
        <v>135</v>
      </c>
      <c r="L593" s="63">
        <v>269</v>
      </c>
      <c r="M593" s="64" t="s">
        <v>742</v>
      </c>
      <c r="N593" s="2"/>
    </row>
    <row r="594" spans="1:14" ht="14.4">
      <c r="A594" s="42">
        <v>45804</v>
      </c>
      <c r="B594" s="61" t="s">
        <v>1764</v>
      </c>
      <c r="C594" s="39" t="s">
        <v>1765</v>
      </c>
      <c r="D594" s="20" t="s">
        <v>280</v>
      </c>
      <c r="E594" s="54" t="s">
        <v>447</v>
      </c>
      <c r="F594" s="54" t="s">
        <v>33</v>
      </c>
      <c r="G594" s="10" t="s">
        <v>23</v>
      </c>
      <c r="H594" s="39" t="s">
        <v>886</v>
      </c>
      <c r="I594" s="39" t="s">
        <v>1091</v>
      </c>
      <c r="J594" s="44">
        <v>80</v>
      </c>
      <c r="K594" s="44"/>
      <c r="L594" s="63">
        <v>80</v>
      </c>
      <c r="M594" s="64" t="s">
        <v>742</v>
      </c>
      <c r="N594" s="2"/>
    </row>
    <row r="595" spans="1:14" ht="14.4">
      <c r="A595" s="42">
        <v>45804</v>
      </c>
      <c r="B595" s="61" t="s">
        <v>1766</v>
      </c>
      <c r="C595" s="39" t="s">
        <v>1767</v>
      </c>
      <c r="D595" s="20" t="s">
        <v>280</v>
      </c>
      <c r="E595" s="54" t="s">
        <v>447</v>
      </c>
      <c r="F595" s="54" t="s">
        <v>33</v>
      </c>
      <c r="G595" s="10" t="s">
        <v>23</v>
      </c>
      <c r="H595" s="39" t="s">
        <v>919</v>
      </c>
      <c r="I595" s="39" t="s">
        <v>1164</v>
      </c>
      <c r="J595" s="44">
        <v>70</v>
      </c>
      <c r="K595" s="44"/>
      <c r="L595" s="63">
        <v>70</v>
      </c>
      <c r="M595" s="64" t="s">
        <v>1678</v>
      </c>
      <c r="N595" s="2"/>
    </row>
    <row r="596" spans="1:14" ht="14.4">
      <c r="A596" s="42">
        <v>45805</v>
      </c>
      <c r="B596" s="61" t="s">
        <v>1768</v>
      </c>
      <c r="C596" s="39" t="s">
        <v>1769</v>
      </c>
      <c r="D596" s="20" t="s">
        <v>446</v>
      </c>
      <c r="E596" s="54" t="s">
        <v>447</v>
      </c>
      <c r="F596" s="54" t="s">
        <v>33</v>
      </c>
      <c r="G596" s="10" t="s">
        <v>23</v>
      </c>
      <c r="H596" s="39" t="s">
        <v>722</v>
      </c>
      <c r="I596" s="39" t="s">
        <v>1091</v>
      </c>
      <c r="J596" s="44">
        <v>80</v>
      </c>
      <c r="K596" s="44"/>
      <c r="L596" s="63">
        <v>80</v>
      </c>
      <c r="M596" s="64" t="s">
        <v>742</v>
      </c>
      <c r="N596" s="2"/>
    </row>
    <row r="597" spans="1:14" ht="14.4">
      <c r="A597" s="42">
        <v>45805</v>
      </c>
      <c r="B597" s="61" t="s">
        <v>1770</v>
      </c>
      <c r="C597" s="39" t="s">
        <v>1771</v>
      </c>
      <c r="D597" s="20" t="s">
        <v>974</v>
      </c>
      <c r="E597" s="54" t="s">
        <v>447</v>
      </c>
      <c r="F597" s="54" t="s">
        <v>487</v>
      </c>
      <c r="G597" s="10" t="s">
        <v>40</v>
      </c>
      <c r="H597" s="39" t="s">
        <v>1709</v>
      </c>
      <c r="I597" s="39"/>
      <c r="J597" s="44">
        <v>530</v>
      </c>
      <c r="K597" s="44"/>
      <c r="L597" s="63">
        <v>530</v>
      </c>
      <c r="M597" s="64" t="s">
        <v>1381</v>
      </c>
      <c r="N597" s="2"/>
    </row>
    <row r="598" spans="1:14" ht="14.4">
      <c r="A598" s="42">
        <v>45805</v>
      </c>
      <c r="B598" s="61" t="s">
        <v>1772</v>
      </c>
      <c r="C598" s="39" t="s">
        <v>1773</v>
      </c>
      <c r="D598" s="20" t="s">
        <v>992</v>
      </c>
      <c r="E598" s="54" t="s">
        <v>447</v>
      </c>
      <c r="F598" s="54" t="s">
        <v>56</v>
      </c>
      <c r="G598" s="54" t="s">
        <v>56</v>
      </c>
      <c r="H598" s="39" t="s">
        <v>993</v>
      </c>
      <c r="I598" s="39"/>
      <c r="J598" s="44">
        <v>290</v>
      </c>
      <c r="K598" s="44"/>
      <c r="L598" s="63">
        <v>290</v>
      </c>
      <c r="M598" s="64" t="s">
        <v>1381</v>
      </c>
      <c r="N598" s="2"/>
    </row>
    <row r="599" spans="1:14" ht="14.4">
      <c r="A599" s="42">
        <v>45805</v>
      </c>
      <c r="B599" s="61" t="s">
        <v>1764</v>
      </c>
      <c r="C599" s="39" t="s">
        <v>1765</v>
      </c>
      <c r="D599" s="20" t="s">
        <v>280</v>
      </c>
      <c r="E599" s="54" t="s">
        <v>447</v>
      </c>
      <c r="F599" s="54" t="s">
        <v>33</v>
      </c>
      <c r="G599" s="10" t="s">
        <v>23</v>
      </c>
      <c r="H599" s="39" t="s">
        <v>1774</v>
      </c>
      <c r="I599" s="39" t="s">
        <v>1091</v>
      </c>
      <c r="J599" s="44">
        <v>700</v>
      </c>
      <c r="K599" s="44">
        <v>550</v>
      </c>
      <c r="L599" s="63">
        <v>1250</v>
      </c>
      <c r="M599" s="64" t="s">
        <v>742</v>
      </c>
      <c r="N599" s="2"/>
    </row>
    <row r="600" spans="1:14" ht="14.4">
      <c r="A600" s="42">
        <v>45805</v>
      </c>
      <c r="B600" s="61" t="s">
        <v>1775</v>
      </c>
      <c r="C600" s="39" t="s">
        <v>1776</v>
      </c>
      <c r="D600" s="20" t="s">
        <v>1035</v>
      </c>
      <c r="E600" s="54" t="s">
        <v>447</v>
      </c>
      <c r="F600" s="54" t="s">
        <v>487</v>
      </c>
      <c r="G600" s="10" t="s">
        <v>40</v>
      </c>
      <c r="H600" s="39" t="s">
        <v>1777</v>
      </c>
      <c r="I600" s="39"/>
      <c r="J600" s="44">
        <v>1130</v>
      </c>
      <c r="K600" s="44"/>
      <c r="L600" s="63">
        <v>1130</v>
      </c>
      <c r="M600" s="64" t="s">
        <v>1678</v>
      </c>
      <c r="N600" s="2"/>
    </row>
    <row r="601" spans="1:14" ht="14.4">
      <c r="A601" s="42">
        <v>45805</v>
      </c>
      <c r="B601" s="61" t="s">
        <v>1778</v>
      </c>
      <c r="C601" s="39"/>
      <c r="D601" s="20" t="s">
        <v>974</v>
      </c>
      <c r="E601" s="54" t="s">
        <v>447</v>
      </c>
      <c r="F601" s="54" t="s">
        <v>487</v>
      </c>
      <c r="G601" s="10" t="s">
        <v>40</v>
      </c>
      <c r="H601" s="39" t="s">
        <v>1709</v>
      </c>
      <c r="I601" s="39"/>
      <c r="J601" s="44">
        <v>480</v>
      </c>
      <c r="K601" s="44"/>
      <c r="L601" s="63">
        <v>480</v>
      </c>
      <c r="M601" s="64" t="s">
        <v>1678</v>
      </c>
      <c r="N601" s="2"/>
    </row>
    <row r="602" spans="1:14" ht="14.4">
      <c r="A602" s="42">
        <v>45805</v>
      </c>
      <c r="B602" s="61" t="s">
        <v>649</v>
      </c>
      <c r="C602" s="39" t="s">
        <v>1779</v>
      </c>
      <c r="D602" s="20" t="s">
        <v>974</v>
      </c>
      <c r="E602" s="54" t="s">
        <v>447</v>
      </c>
      <c r="F602" s="54" t="s">
        <v>40</v>
      </c>
      <c r="G602" s="10" t="s">
        <v>40</v>
      </c>
      <c r="H602" s="39" t="s">
        <v>1704</v>
      </c>
      <c r="I602" s="39"/>
      <c r="J602" s="44">
        <v>70</v>
      </c>
      <c r="K602" s="44"/>
      <c r="L602" s="63">
        <v>70</v>
      </c>
      <c r="M602" s="64" t="s">
        <v>1686</v>
      </c>
      <c r="N602" s="2"/>
    </row>
    <row r="603" spans="1:14" ht="14.4">
      <c r="A603" s="42">
        <v>45805</v>
      </c>
      <c r="B603" s="61" t="s">
        <v>1707</v>
      </c>
      <c r="C603" s="39" t="s">
        <v>1708</v>
      </c>
      <c r="D603" s="20" t="s">
        <v>974</v>
      </c>
      <c r="E603" s="54" t="s">
        <v>447</v>
      </c>
      <c r="F603" s="54" t="s">
        <v>487</v>
      </c>
      <c r="G603" s="10" t="s">
        <v>40</v>
      </c>
      <c r="H603" s="39" t="s">
        <v>1709</v>
      </c>
      <c r="I603" s="39"/>
      <c r="J603" s="44">
        <v>180</v>
      </c>
      <c r="K603" s="44"/>
      <c r="L603" s="63">
        <v>180</v>
      </c>
      <c r="M603" s="64" t="s">
        <v>1678</v>
      </c>
      <c r="N603" s="2"/>
    </row>
    <row r="604" spans="1:14" ht="14.4">
      <c r="A604" s="42">
        <v>45806</v>
      </c>
      <c r="B604" s="61" t="s">
        <v>1780</v>
      </c>
      <c r="C604" s="39" t="s">
        <v>1781</v>
      </c>
      <c r="D604" s="20" t="s">
        <v>985</v>
      </c>
      <c r="E604" s="54" t="s">
        <v>447</v>
      </c>
      <c r="F604" s="54" t="s">
        <v>253</v>
      </c>
      <c r="G604" s="10" t="s">
        <v>23</v>
      </c>
      <c r="H604" s="39" t="s">
        <v>857</v>
      </c>
      <c r="I604" s="39" t="s">
        <v>1111</v>
      </c>
      <c r="J604" s="44">
        <v>50</v>
      </c>
      <c r="K604" s="44"/>
      <c r="L604" s="63">
        <v>50</v>
      </c>
      <c r="M604" s="64" t="s">
        <v>1678</v>
      </c>
      <c r="N604" s="2"/>
    </row>
    <row r="605" spans="1:14" ht="14.4">
      <c r="A605" s="42">
        <v>45806</v>
      </c>
      <c r="B605" s="61" t="s">
        <v>1782</v>
      </c>
      <c r="C605" s="39" t="s">
        <v>1783</v>
      </c>
      <c r="D605" s="20" t="s">
        <v>280</v>
      </c>
      <c r="E605" s="54" t="s">
        <v>447</v>
      </c>
      <c r="F605" s="54" t="s">
        <v>252</v>
      </c>
      <c r="G605" s="10" t="s">
        <v>23</v>
      </c>
      <c r="H605" s="39" t="s">
        <v>857</v>
      </c>
      <c r="I605" s="39" t="s">
        <v>1091</v>
      </c>
      <c r="J605" s="44">
        <v>60</v>
      </c>
      <c r="K605" s="44"/>
      <c r="L605" s="63">
        <v>60</v>
      </c>
      <c r="M605" s="64" t="s">
        <v>1678</v>
      </c>
      <c r="N605" s="2"/>
    </row>
    <row r="606" spans="1:14" ht="14.4">
      <c r="A606" s="42">
        <v>45806</v>
      </c>
      <c r="B606" s="61" t="s">
        <v>1784</v>
      </c>
      <c r="C606" s="39" t="s">
        <v>1785</v>
      </c>
      <c r="D606" s="20" t="s">
        <v>974</v>
      </c>
      <c r="E606" s="54" t="s">
        <v>519</v>
      </c>
      <c r="F606" s="54" t="s">
        <v>463</v>
      </c>
      <c r="G606" s="10" t="s">
        <v>40</v>
      </c>
      <c r="H606" s="39" t="s">
        <v>1786</v>
      </c>
      <c r="I606" s="39"/>
      <c r="J606" s="44">
        <v>165</v>
      </c>
      <c r="K606" s="44"/>
      <c r="L606" s="63">
        <v>165</v>
      </c>
      <c r="M606" s="64" t="s">
        <v>1686</v>
      </c>
      <c r="N606" s="2"/>
    </row>
    <row r="607" spans="1:14" ht="14.4">
      <c r="A607" s="42">
        <v>45806</v>
      </c>
      <c r="B607" s="61" t="s">
        <v>1787</v>
      </c>
      <c r="C607" s="39" t="s">
        <v>1788</v>
      </c>
      <c r="D607" s="20" t="s">
        <v>280</v>
      </c>
      <c r="E607" s="54" t="s">
        <v>447</v>
      </c>
      <c r="F607" s="54" t="s">
        <v>253</v>
      </c>
      <c r="G607" s="10" t="s">
        <v>23</v>
      </c>
      <c r="H607" s="39" t="s">
        <v>1584</v>
      </c>
      <c r="I607" s="39" t="s">
        <v>1173</v>
      </c>
      <c r="J607" s="44">
        <v>239</v>
      </c>
      <c r="K607" s="44"/>
      <c r="L607" s="63">
        <v>239</v>
      </c>
      <c r="M607" s="64" t="s">
        <v>1381</v>
      </c>
      <c r="N607" s="2"/>
    </row>
    <row r="608" spans="1:14" ht="14.4">
      <c r="A608" s="42">
        <v>45806</v>
      </c>
      <c r="B608" s="61" t="s">
        <v>1789</v>
      </c>
      <c r="C608" s="39" t="s">
        <v>1790</v>
      </c>
      <c r="D608" s="20" t="s">
        <v>1254</v>
      </c>
      <c r="E608" s="54" t="s">
        <v>447</v>
      </c>
      <c r="F608" s="54" t="s">
        <v>1791</v>
      </c>
      <c r="G608" s="10" t="s">
        <v>23</v>
      </c>
      <c r="H608" s="39" t="s">
        <v>1792</v>
      </c>
      <c r="I608" s="39" t="s">
        <v>1091</v>
      </c>
      <c r="J608" s="44">
        <v>145</v>
      </c>
      <c r="K608" s="44">
        <v>145</v>
      </c>
      <c r="L608" s="63">
        <v>290</v>
      </c>
      <c r="M608" s="64" t="s">
        <v>742</v>
      </c>
      <c r="N608" s="2"/>
    </row>
    <row r="609" spans="1:14" ht="14.4">
      <c r="A609" s="42">
        <v>45806</v>
      </c>
      <c r="B609" s="61" t="s">
        <v>1793</v>
      </c>
      <c r="C609" s="39" t="s">
        <v>1235</v>
      </c>
      <c r="D609" s="20" t="s">
        <v>1035</v>
      </c>
      <c r="E609" s="54" t="s">
        <v>447</v>
      </c>
      <c r="F609" s="54" t="s">
        <v>40</v>
      </c>
      <c r="G609" s="10" t="s">
        <v>40</v>
      </c>
      <c r="H609" s="39" t="s">
        <v>1406</v>
      </c>
      <c r="I609" s="39"/>
      <c r="J609" s="44">
        <v>628.5</v>
      </c>
      <c r="K609" s="44"/>
      <c r="L609" s="63">
        <v>628.5</v>
      </c>
      <c r="M609" s="64" t="s">
        <v>480</v>
      </c>
      <c r="N609" s="2"/>
    </row>
    <row r="610" spans="1:14" ht="14.4">
      <c r="A610" s="42">
        <v>45806</v>
      </c>
      <c r="B610" s="61" t="s">
        <v>1793</v>
      </c>
      <c r="C610" s="39" t="s">
        <v>1794</v>
      </c>
      <c r="D610" s="20" t="s">
        <v>1035</v>
      </c>
      <c r="E610" s="54" t="s">
        <v>447</v>
      </c>
      <c r="F610" s="54" t="s">
        <v>40</v>
      </c>
      <c r="G610" s="10" t="s">
        <v>40</v>
      </c>
      <c r="H610" s="39" t="s">
        <v>1406</v>
      </c>
      <c r="I610" s="39"/>
      <c r="J610" s="44">
        <v>628.5</v>
      </c>
      <c r="K610" s="44"/>
      <c r="L610" s="63">
        <v>628.5</v>
      </c>
      <c r="M610" s="64" t="s">
        <v>742</v>
      </c>
      <c r="N610" s="2"/>
    </row>
    <row r="611" spans="1:14" ht="14.4">
      <c r="A611" s="42">
        <v>45806</v>
      </c>
      <c r="B611" s="61" t="s">
        <v>1795</v>
      </c>
      <c r="C611" s="39" t="s">
        <v>1796</v>
      </c>
      <c r="D611" s="20" t="s">
        <v>502</v>
      </c>
      <c r="E611" s="54" t="s">
        <v>447</v>
      </c>
      <c r="F611" s="54" t="s">
        <v>33</v>
      </c>
      <c r="G611" s="10" t="s">
        <v>23</v>
      </c>
      <c r="H611" s="39" t="s">
        <v>919</v>
      </c>
      <c r="I611" s="39" t="s">
        <v>1085</v>
      </c>
      <c r="J611" s="44">
        <v>40</v>
      </c>
      <c r="K611" s="44"/>
      <c r="L611" s="63">
        <v>40</v>
      </c>
      <c r="M611" s="64" t="s">
        <v>1686</v>
      </c>
      <c r="N611" s="2"/>
    </row>
    <row r="612" spans="1:14" ht="14.4">
      <c r="A612" s="42">
        <v>45806</v>
      </c>
      <c r="B612" s="61" t="s">
        <v>1797</v>
      </c>
      <c r="C612" s="39" t="s">
        <v>1798</v>
      </c>
      <c r="D612" s="20" t="s">
        <v>502</v>
      </c>
      <c r="E612" s="54" t="s">
        <v>447</v>
      </c>
      <c r="F612" s="54" t="s">
        <v>33</v>
      </c>
      <c r="G612" s="10" t="s">
        <v>23</v>
      </c>
      <c r="H612" s="39" t="s">
        <v>919</v>
      </c>
      <c r="I612" s="39" t="s">
        <v>1173</v>
      </c>
      <c r="J612" s="44">
        <v>60</v>
      </c>
      <c r="K612" s="44"/>
      <c r="L612" s="63">
        <v>60</v>
      </c>
      <c r="M612" s="64" t="s">
        <v>1678</v>
      </c>
      <c r="N612" s="2"/>
    </row>
    <row r="613" spans="1:14" ht="14.4">
      <c r="A613" s="42">
        <v>45807</v>
      </c>
      <c r="B613" s="61" t="s">
        <v>1799</v>
      </c>
      <c r="C613" s="39" t="s">
        <v>1800</v>
      </c>
      <c r="D613" s="20" t="s">
        <v>27</v>
      </c>
      <c r="E613" s="54" t="s">
        <v>447</v>
      </c>
      <c r="F613" s="54" t="s">
        <v>27</v>
      </c>
      <c r="G613" s="10" t="s">
        <v>27</v>
      </c>
      <c r="H613" s="39" t="s">
        <v>1424</v>
      </c>
      <c r="I613" s="39"/>
      <c r="J613" s="44">
        <v>190</v>
      </c>
      <c r="K613" s="44"/>
      <c r="L613" s="63">
        <v>390</v>
      </c>
      <c r="M613" s="64" t="s">
        <v>1678</v>
      </c>
      <c r="N613" s="2"/>
    </row>
    <row r="614" spans="1:14" ht="14.4">
      <c r="A614" s="42">
        <v>45807</v>
      </c>
      <c r="B614" s="61" t="s">
        <v>1801</v>
      </c>
      <c r="C614" s="39" t="s">
        <v>1802</v>
      </c>
      <c r="D614" s="20" t="s">
        <v>280</v>
      </c>
      <c r="E614" s="54" t="s">
        <v>519</v>
      </c>
      <c r="F614" s="54" t="s">
        <v>33</v>
      </c>
      <c r="G614" s="10" t="s">
        <v>23</v>
      </c>
      <c r="H614" s="39" t="s">
        <v>886</v>
      </c>
      <c r="I614" s="39" t="s">
        <v>1220</v>
      </c>
      <c r="J614" s="44">
        <v>50</v>
      </c>
      <c r="K614" s="44"/>
      <c r="L614" s="63">
        <v>50</v>
      </c>
      <c r="M614" s="64" t="s">
        <v>742</v>
      </c>
      <c r="N614" s="2"/>
    </row>
    <row r="615" spans="1:14" ht="14.4">
      <c r="A615" s="42">
        <v>45807</v>
      </c>
      <c r="B615" s="61" t="s">
        <v>1803</v>
      </c>
      <c r="C615" s="10" t="s">
        <v>1804</v>
      </c>
      <c r="D615" s="20" t="s">
        <v>280</v>
      </c>
      <c r="E615" s="54" t="s">
        <v>447</v>
      </c>
      <c r="F615" s="54" t="s">
        <v>252</v>
      </c>
      <c r="G615" s="10" t="s">
        <v>23</v>
      </c>
      <c r="H615" s="39" t="s">
        <v>758</v>
      </c>
      <c r="I615" s="39" t="s">
        <v>1299</v>
      </c>
      <c r="J615" s="44">
        <v>729</v>
      </c>
      <c r="K615" s="44"/>
      <c r="L615" s="63">
        <v>729</v>
      </c>
      <c r="M615" s="64" t="s">
        <v>1678</v>
      </c>
      <c r="N615" s="2"/>
    </row>
    <row r="616" spans="1:14" ht="14.4">
      <c r="A616" s="42">
        <v>45808</v>
      </c>
      <c r="B616" s="61" t="s">
        <v>1805</v>
      </c>
      <c r="C616" s="39" t="s">
        <v>1806</v>
      </c>
      <c r="D616" s="20" t="s">
        <v>985</v>
      </c>
      <c r="E616" s="54" t="s">
        <v>447</v>
      </c>
      <c r="F616" s="54" t="s">
        <v>253</v>
      </c>
      <c r="G616" s="10" t="s">
        <v>23</v>
      </c>
      <c r="H616" s="39"/>
      <c r="I616" s="39" t="s">
        <v>1094</v>
      </c>
      <c r="J616" s="44">
        <v>125</v>
      </c>
      <c r="K616" s="44">
        <v>124</v>
      </c>
      <c r="L616" s="63">
        <v>249</v>
      </c>
      <c r="M616" s="64" t="s">
        <v>1678</v>
      </c>
      <c r="N616" s="2"/>
    </row>
    <row r="617" spans="1:14" ht="14.4">
      <c r="A617" s="42">
        <v>45808</v>
      </c>
      <c r="B617" s="61"/>
      <c r="C617" s="39" t="s">
        <v>1807</v>
      </c>
      <c r="D617" s="20" t="s">
        <v>1035</v>
      </c>
      <c r="E617" s="54" t="s">
        <v>447</v>
      </c>
      <c r="F617" s="54" t="s">
        <v>40</v>
      </c>
      <c r="G617" s="10" t="s">
        <v>40</v>
      </c>
      <c r="H617" s="39" t="s">
        <v>484</v>
      </c>
      <c r="I617" s="39"/>
      <c r="J617" s="44">
        <v>110</v>
      </c>
      <c r="K617" s="44"/>
      <c r="L617" s="63">
        <v>110</v>
      </c>
      <c r="M617" s="64" t="s">
        <v>1381</v>
      </c>
      <c r="N617" s="2"/>
    </row>
    <row r="618" spans="1:14" ht="14.4">
      <c r="A618" s="42">
        <v>45808</v>
      </c>
      <c r="B618" s="61" t="s">
        <v>1808</v>
      </c>
      <c r="C618" s="39" t="s">
        <v>1733</v>
      </c>
      <c r="D618" s="20" t="s">
        <v>1035</v>
      </c>
      <c r="E618" s="54" t="s">
        <v>447</v>
      </c>
      <c r="F618" s="54" t="s">
        <v>40</v>
      </c>
      <c r="G618" s="10" t="s">
        <v>40</v>
      </c>
      <c r="H618" s="39" t="s">
        <v>531</v>
      </c>
      <c r="I618" s="39"/>
      <c r="J618" s="44">
        <v>100</v>
      </c>
      <c r="K618" s="44"/>
      <c r="L618" s="63">
        <v>100</v>
      </c>
      <c r="M618" s="64" t="s">
        <v>1678</v>
      </c>
      <c r="N618" s="2"/>
    </row>
    <row r="619" spans="1:14" ht="14.4">
      <c r="A619" s="42">
        <v>45808</v>
      </c>
      <c r="B619" s="61"/>
      <c r="C619" s="39" t="s">
        <v>1809</v>
      </c>
      <c r="D619" s="20" t="s">
        <v>974</v>
      </c>
      <c r="E619" s="54" t="s">
        <v>447</v>
      </c>
      <c r="F619" s="54" t="s">
        <v>1703</v>
      </c>
      <c r="G619" s="10" t="s">
        <v>40</v>
      </c>
      <c r="H619" s="39" t="s">
        <v>1810</v>
      </c>
      <c r="I619" s="39"/>
      <c r="J619" s="44">
        <v>25</v>
      </c>
      <c r="K619" s="44"/>
      <c r="L619" s="63">
        <v>25</v>
      </c>
      <c r="M619" s="64" t="s">
        <v>1686</v>
      </c>
      <c r="N619" s="2"/>
    </row>
    <row r="620" spans="1:14" ht="14.4">
      <c r="A620" s="42">
        <v>45810</v>
      </c>
      <c r="B620" s="61" t="s">
        <v>1811</v>
      </c>
      <c r="C620" s="39" t="s">
        <v>1812</v>
      </c>
      <c r="D620" s="20" t="s">
        <v>1033</v>
      </c>
      <c r="E620" s="54" t="s">
        <v>447</v>
      </c>
      <c r="F620" s="54" t="s">
        <v>487</v>
      </c>
      <c r="G620" s="10" t="s">
        <v>40</v>
      </c>
      <c r="H620" s="39" t="s">
        <v>1813</v>
      </c>
      <c r="I620" s="39"/>
      <c r="J620" s="44">
        <v>2010</v>
      </c>
      <c r="K620" s="44"/>
      <c r="L620" s="63">
        <v>2010</v>
      </c>
      <c r="M620" s="64" t="s">
        <v>1678</v>
      </c>
      <c r="N620" s="2"/>
    </row>
    <row r="621" spans="1:14" ht="14.4">
      <c r="A621" s="42">
        <v>45810</v>
      </c>
      <c r="B621" s="61" t="s">
        <v>1814</v>
      </c>
      <c r="C621" s="39" t="s">
        <v>1815</v>
      </c>
      <c r="D621" s="20" t="s">
        <v>280</v>
      </c>
      <c r="E621" s="54" t="s">
        <v>447</v>
      </c>
      <c r="F621" s="54" t="s">
        <v>33</v>
      </c>
      <c r="G621" s="10" t="s">
        <v>23</v>
      </c>
      <c r="H621" s="39" t="s">
        <v>886</v>
      </c>
      <c r="I621" s="39" t="s">
        <v>1607</v>
      </c>
      <c r="J621" s="44">
        <v>60</v>
      </c>
      <c r="K621" s="44"/>
      <c r="L621" s="63">
        <v>60</v>
      </c>
      <c r="M621" s="64" t="s">
        <v>1678</v>
      </c>
      <c r="N621" s="2"/>
    </row>
    <row r="622" spans="1:14" ht="14.4">
      <c r="A622" s="42">
        <v>45810</v>
      </c>
      <c r="B622" s="61" t="s">
        <v>1816</v>
      </c>
      <c r="C622" s="39" t="s">
        <v>1817</v>
      </c>
      <c r="D622" s="20" t="s">
        <v>1035</v>
      </c>
      <c r="E622" s="54" t="s">
        <v>447</v>
      </c>
      <c r="F622" s="54" t="s">
        <v>1703</v>
      </c>
      <c r="G622" s="10" t="s">
        <v>40</v>
      </c>
      <c r="H622" s="39" t="s">
        <v>1818</v>
      </c>
      <c r="I622" s="39"/>
      <c r="J622" s="44">
        <v>490</v>
      </c>
      <c r="K622" s="44"/>
      <c r="L622" s="63">
        <v>490</v>
      </c>
      <c r="M622" s="64" t="s">
        <v>742</v>
      </c>
      <c r="N622" s="2"/>
    </row>
    <row r="623" spans="1:14" ht="14.4">
      <c r="A623" s="42">
        <v>45810</v>
      </c>
      <c r="B623" s="61" t="s">
        <v>1819</v>
      </c>
      <c r="C623" s="39" t="s">
        <v>1820</v>
      </c>
      <c r="D623" s="20" t="s">
        <v>1035</v>
      </c>
      <c r="E623" s="54" t="s">
        <v>519</v>
      </c>
      <c r="F623" s="54" t="s">
        <v>463</v>
      </c>
      <c r="G623" s="10" t="s">
        <v>40</v>
      </c>
      <c r="H623" s="39" t="s">
        <v>1821</v>
      </c>
      <c r="I623" s="39"/>
      <c r="J623" s="44">
        <v>150</v>
      </c>
      <c r="K623" s="44"/>
      <c r="L623" s="63">
        <v>150</v>
      </c>
      <c r="M623" s="64" t="s">
        <v>1686</v>
      </c>
      <c r="N623" s="2"/>
    </row>
    <row r="624" spans="1:14" ht="14.4">
      <c r="A624" s="42">
        <v>45810</v>
      </c>
      <c r="B624" s="61" t="s">
        <v>1822</v>
      </c>
      <c r="C624" s="39" t="s">
        <v>1823</v>
      </c>
      <c r="D624" s="20" t="s">
        <v>985</v>
      </c>
      <c r="E624" s="54" t="s">
        <v>519</v>
      </c>
      <c r="F624" s="54" t="s">
        <v>253</v>
      </c>
      <c r="G624" s="10" t="s">
        <v>23</v>
      </c>
      <c r="H624" s="39" t="s">
        <v>1824</v>
      </c>
      <c r="I624" s="39" t="s">
        <v>1825</v>
      </c>
      <c r="J624" s="44">
        <v>269</v>
      </c>
      <c r="K624" s="44"/>
      <c r="L624" s="63">
        <v>269</v>
      </c>
      <c r="M624" s="64" t="s">
        <v>1686</v>
      </c>
      <c r="N624" s="2"/>
    </row>
    <row r="625" spans="1:14" ht="14.4">
      <c r="A625" s="42">
        <v>45810</v>
      </c>
      <c r="B625" s="61" t="s">
        <v>1826</v>
      </c>
      <c r="C625" s="39" t="s">
        <v>1827</v>
      </c>
      <c r="D625" s="20" t="s">
        <v>1033</v>
      </c>
      <c r="E625" s="54" t="s">
        <v>447</v>
      </c>
      <c r="F625" s="54" t="s">
        <v>463</v>
      </c>
      <c r="G625" s="10" t="s">
        <v>40</v>
      </c>
      <c r="H625" s="39" t="s">
        <v>1828</v>
      </c>
      <c r="I625" s="39"/>
      <c r="J625" s="44">
        <v>307.36</v>
      </c>
      <c r="K625" s="44"/>
      <c r="L625" s="63">
        <v>307.36</v>
      </c>
      <c r="M625" s="64" t="s">
        <v>1381</v>
      </c>
      <c r="N625" s="2"/>
    </row>
    <row r="626" spans="1:14" ht="14.4">
      <c r="A626" s="42">
        <v>45810</v>
      </c>
      <c r="B626" s="61" t="s">
        <v>1829</v>
      </c>
      <c r="C626" s="39" t="s">
        <v>1830</v>
      </c>
      <c r="D626" s="20" t="s">
        <v>1033</v>
      </c>
      <c r="E626" s="54" t="s">
        <v>447</v>
      </c>
      <c r="F626" s="54" t="s">
        <v>463</v>
      </c>
      <c r="G626" s="10" t="s">
        <v>40</v>
      </c>
      <c r="H626" s="39" t="s">
        <v>1828</v>
      </c>
      <c r="I626" s="39"/>
      <c r="J626" s="44">
        <v>190</v>
      </c>
      <c r="K626" s="44"/>
      <c r="L626" s="63">
        <v>190</v>
      </c>
      <c r="M626" s="64" t="s">
        <v>1381</v>
      </c>
      <c r="N626" s="2"/>
    </row>
    <row r="627" spans="1:14" ht="18.75" customHeight="1">
      <c r="A627" s="42">
        <v>45810</v>
      </c>
      <c r="B627" s="61" t="s">
        <v>645</v>
      </c>
      <c r="C627" s="39" t="s">
        <v>1831</v>
      </c>
      <c r="D627" s="20" t="s">
        <v>864</v>
      </c>
      <c r="E627" s="54" t="s">
        <v>447</v>
      </c>
      <c r="F627" s="54" t="s">
        <v>25</v>
      </c>
      <c r="G627" s="10" t="s">
        <v>25</v>
      </c>
      <c r="H627" s="39" t="s">
        <v>1832</v>
      </c>
      <c r="I627" s="39"/>
      <c r="J627" s="44">
        <v>1490</v>
      </c>
      <c r="K627" s="44"/>
      <c r="L627" s="44">
        <v>1490</v>
      </c>
      <c r="M627" s="64" t="s">
        <v>1678</v>
      </c>
      <c r="N627" s="2"/>
    </row>
    <row r="628" spans="1:14" ht="18" customHeight="1">
      <c r="A628" s="42">
        <v>45811</v>
      </c>
      <c r="B628" s="61" t="s">
        <v>1811</v>
      </c>
      <c r="C628" s="39" t="s">
        <v>1812</v>
      </c>
      <c r="D628" s="20" t="s">
        <v>1033</v>
      </c>
      <c r="E628" s="54" t="s">
        <v>447</v>
      </c>
      <c r="F628" s="54" t="s">
        <v>40</v>
      </c>
      <c r="G628" s="10" t="s">
        <v>40</v>
      </c>
      <c r="H628" s="39" t="s">
        <v>1833</v>
      </c>
      <c r="I628" s="39"/>
      <c r="J628" s="44">
        <v>290</v>
      </c>
      <c r="K628" s="44"/>
      <c r="L628" s="63">
        <v>290</v>
      </c>
      <c r="M628" s="64" t="s">
        <v>1678</v>
      </c>
      <c r="N628" s="2"/>
    </row>
    <row r="629" spans="1:14" ht="14.4">
      <c r="A629" s="42">
        <v>45811</v>
      </c>
      <c r="B629" s="61" t="s">
        <v>1834</v>
      </c>
      <c r="C629" s="39" t="s">
        <v>1835</v>
      </c>
      <c r="D629" s="20" t="s">
        <v>1254</v>
      </c>
      <c r="E629" s="54" t="s">
        <v>447</v>
      </c>
      <c r="F629" s="54" t="s">
        <v>252</v>
      </c>
      <c r="G629" s="10" t="s">
        <v>23</v>
      </c>
      <c r="H629" s="39" t="s">
        <v>758</v>
      </c>
      <c r="I629" s="39" t="s">
        <v>1111</v>
      </c>
      <c r="J629" s="44">
        <v>950</v>
      </c>
      <c r="K629" s="44"/>
      <c r="L629" s="63">
        <v>950</v>
      </c>
      <c r="M629" s="64" t="s">
        <v>742</v>
      </c>
      <c r="N629" s="2"/>
    </row>
    <row r="630" spans="1:14" ht="14.4">
      <c r="A630" s="42">
        <v>45811</v>
      </c>
      <c r="B630" s="61" t="s">
        <v>1836</v>
      </c>
      <c r="C630" s="39" t="s">
        <v>1837</v>
      </c>
      <c r="D630" s="20" t="s">
        <v>1035</v>
      </c>
      <c r="E630" s="54" t="s">
        <v>519</v>
      </c>
      <c r="F630" s="54" t="s">
        <v>463</v>
      </c>
      <c r="G630" s="10" t="s">
        <v>40</v>
      </c>
      <c r="H630" s="39" t="s">
        <v>1838</v>
      </c>
      <c r="I630" s="39"/>
      <c r="J630" s="44">
        <v>150</v>
      </c>
      <c r="K630" s="44"/>
      <c r="L630" s="63">
        <v>150</v>
      </c>
      <c r="M630" s="64" t="s">
        <v>1686</v>
      </c>
      <c r="N630" s="2"/>
    </row>
    <row r="631" spans="1:14" ht="14.4">
      <c r="A631" s="42">
        <v>45811</v>
      </c>
      <c r="B631" s="61" t="s">
        <v>1839</v>
      </c>
      <c r="C631" s="39" t="s">
        <v>1840</v>
      </c>
      <c r="D631" s="20" t="s">
        <v>280</v>
      </c>
      <c r="E631" s="54" t="s">
        <v>447</v>
      </c>
      <c r="F631" s="54" t="s">
        <v>33</v>
      </c>
      <c r="G631" s="10" t="s">
        <v>23</v>
      </c>
      <c r="H631" s="39" t="s">
        <v>886</v>
      </c>
      <c r="I631" s="39" t="s">
        <v>1111</v>
      </c>
      <c r="J631" s="44">
        <v>60</v>
      </c>
      <c r="K631" s="44"/>
      <c r="L631" s="63">
        <v>60</v>
      </c>
      <c r="M631" s="64" t="s">
        <v>1678</v>
      </c>
      <c r="N631" s="2"/>
    </row>
    <row r="632" spans="1:14" ht="14.4">
      <c r="A632" s="42">
        <v>45811</v>
      </c>
      <c r="B632" s="61" t="s">
        <v>1841</v>
      </c>
      <c r="C632" s="39" t="s">
        <v>1842</v>
      </c>
      <c r="D632" s="20" t="s">
        <v>985</v>
      </c>
      <c r="E632" s="54" t="s">
        <v>447</v>
      </c>
      <c r="F632" s="54" t="s">
        <v>253</v>
      </c>
      <c r="G632" s="10" t="s">
        <v>23</v>
      </c>
      <c r="H632" s="39" t="s">
        <v>1030</v>
      </c>
      <c r="I632" s="39" t="s">
        <v>1173</v>
      </c>
      <c r="J632" s="44">
        <v>140</v>
      </c>
      <c r="K632" s="44">
        <v>139</v>
      </c>
      <c r="L632" s="63">
        <v>279</v>
      </c>
      <c r="M632" s="64" t="s">
        <v>742</v>
      </c>
      <c r="N632" s="2"/>
    </row>
    <row r="633" spans="1:14" ht="14.4">
      <c r="A633" s="42">
        <v>45811</v>
      </c>
      <c r="B633" s="61" t="s">
        <v>1725</v>
      </c>
      <c r="C633" s="39" t="s">
        <v>1726</v>
      </c>
      <c r="D633" s="20" t="s">
        <v>974</v>
      </c>
      <c r="E633" s="54" t="s">
        <v>447</v>
      </c>
      <c r="F633" s="54" t="s">
        <v>487</v>
      </c>
      <c r="G633" s="10" t="s">
        <v>40</v>
      </c>
      <c r="H633" s="39" t="s">
        <v>1843</v>
      </c>
      <c r="I633" s="39"/>
      <c r="J633" s="44">
        <v>380</v>
      </c>
      <c r="K633" s="44"/>
      <c r="L633" s="63">
        <v>380</v>
      </c>
      <c r="M633" s="64" t="s">
        <v>480</v>
      </c>
      <c r="N633" s="2"/>
    </row>
    <row r="634" spans="1:14" ht="14.4">
      <c r="A634" s="42">
        <v>45812</v>
      </c>
      <c r="B634" s="61" t="s">
        <v>1844</v>
      </c>
      <c r="C634" s="39" t="s">
        <v>1845</v>
      </c>
      <c r="D634" s="20" t="s">
        <v>1035</v>
      </c>
      <c r="E634" s="54" t="s">
        <v>447</v>
      </c>
      <c r="F634" s="54" t="s">
        <v>463</v>
      </c>
      <c r="G634" s="10" t="s">
        <v>40</v>
      </c>
      <c r="H634" s="39" t="s">
        <v>1846</v>
      </c>
      <c r="I634" s="39"/>
      <c r="J634" s="44">
        <v>200</v>
      </c>
      <c r="K634" s="44">
        <v>40</v>
      </c>
      <c r="L634" s="63">
        <v>240</v>
      </c>
      <c r="M634" s="64" t="s">
        <v>1678</v>
      </c>
      <c r="N634" s="2"/>
    </row>
    <row r="635" spans="1:14" ht="14.4">
      <c r="A635" s="42">
        <v>45812</v>
      </c>
      <c r="B635" s="61" t="s">
        <v>1847</v>
      </c>
      <c r="C635" s="39" t="s">
        <v>1848</v>
      </c>
      <c r="D635" s="20" t="s">
        <v>1035</v>
      </c>
      <c r="E635" s="54" t="s">
        <v>519</v>
      </c>
      <c r="F635" s="54" t="s">
        <v>463</v>
      </c>
      <c r="G635" s="10" t="s">
        <v>40</v>
      </c>
      <c r="H635" s="39" t="s">
        <v>1393</v>
      </c>
      <c r="I635" s="39"/>
      <c r="J635" s="44">
        <v>180</v>
      </c>
      <c r="K635" s="44"/>
      <c r="L635" s="63">
        <v>180</v>
      </c>
      <c r="M635" s="64" t="s">
        <v>742</v>
      </c>
      <c r="N635" s="2"/>
    </row>
    <row r="636" spans="1:14" ht="14.4">
      <c r="A636" s="42">
        <v>45812</v>
      </c>
      <c r="B636" s="61" t="s">
        <v>1849</v>
      </c>
      <c r="C636" s="39" t="s">
        <v>1850</v>
      </c>
      <c r="D636" s="20" t="s">
        <v>1033</v>
      </c>
      <c r="E636" s="54" t="s">
        <v>447</v>
      </c>
      <c r="F636" s="54" t="s">
        <v>463</v>
      </c>
      <c r="G636" s="10" t="s">
        <v>40</v>
      </c>
      <c r="H636" s="39" t="s">
        <v>1828</v>
      </c>
      <c r="I636" s="39"/>
      <c r="J636" s="44">
        <v>130</v>
      </c>
      <c r="K636" s="44"/>
      <c r="L636" s="63">
        <v>130</v>
      </c>
      <c r="M636" s="64" t="s">
        <v>1381</v>
      </c>
      <c r="N636" s="2"/>
    </row>
    <row r="637" spans="1:14" ht="14.4">
      <c r="A637" s="42">
        <v>45812</v>
      </c>
      <c r="B637" s="61" t="s">
        <v>1851</v>
      </c>
      <c r="C637" s="39" t="s">
        <v>1852</v>
      </c>
      <c r="D637" s="20" t="s">
        <v>992</v>
      </c>
      <c r="E637" s="54" t="s">
        <v>519</v>
      </c>
      <c r="F637" s="54" t="s">
        <v>56</v>
      </c>
      <c r="G637" s="10" t="s">
        <v>56</v>
      </c>
      <c r="H637" s="39" t="s">
        <v>553</v>
      </c>
      <c r="I637" s="39"/>
      <c r="J637" s="63">
        <v>78</v>
      </c>
      <c r="K637" s="44"/>
      <c r="L637" s="63">
        <v>78</v>
      </c>
      <c r="M637" s="64" t="s">
        <v>1686</v>
      </c>
      <c r="N637" s="2"/>
    </row>
    <row r="638" spans="1:14" ht="14.4">
      <c r="A638" s="42">
        <v>45813</v>
      </c>
      <c r="B638" s="61" t="s">
        <v>1853</v>
      </c>
      <c r="C638" s="39" t="s">
        <v>1854</v>
      </c>
      <c r="D638" s="20" t="s">
        <v>1254</v>
      </c>
      <c r="E638" s="54" t="s">
        <v>519</v>
      </c>
      <c r="F638" s="54" t="s">
        <v>252</v>
      </c>
      <c r="G638" s="10" t="s">
        <v>23</v>
      </c>
      <c r="H638" s="39" t="s">
        <v>886</v>
      </c>
      <c r="I638" s="39" t="s">
        <v>1159</v>
      </c>
      <c r="J638" s="44">
        <v>80</v>
      </c>
      <c r="K638" s="44"/>
      <c r="L638" s="63">
        <v>80</v>
      </c>
      <c r="M638" s="64" t="s">
        <v>1686</v>
      </c>
      <c r="N638" s="2"/>
    </row>
    <row r="639" spans="1:14" ht="14.4">
      <c r="A639" s="42">
        <v>45813</v>
      </c>
      <c r="B639" s="61" t="s">
        <v>1855</v>
      </c>
      <c r="C639" s="39" t="s">
        <v>1856</v>
      </c>
      <c r="D639" s="20" t="s">
        <v>992</v>
      </c>
      <c r="E639" s="54" t="s">
        <v>447</v>
      </c>
      <c r="F639" s="54" t="s">
        <v>56</v>
      </c>
      <c r="G639" s="10" t="s">
        <v>56</v>
      </c>
      <c r="H639" s="39" t="s">
        <v>553</v>
      </c>
      <c r="I639" s="39"/>
      <c r="J639" s="44">
        <v>560</v>
      </c>
      <c r="K639" s="44"/>
      <c r="L639" s="63">
        <v>560</v>
      </c>
      <c r="M639" s="64" t="s">
        <v>1381</v>
      </c>
      <c r="N639" s="2"/>
    </row>
    <row r="640" spans="1:14" ht="14.4">
      <c r="A640" s="42">
        <v>45813</v>
      </c>
      <c r="B640" s="61" t="s">
        <v>1857</v>
      </c>
      <c r="C640" s="39" t="s">
        <v>1858</v>
      </c>
      <c r="D640" s="20" t="s">
        <v>1254</v>
      </c>
      <c r="E640" s="54" t="s">
        <v>447</v>
      </c>
      <c r="F640" s="54" t="s">
        <v>252</v>
      </c>
      <c r="G640" s="10" t="s">
        <v>23</v>
      </c>
      <c r="H640" s="39" t="s">
        <v>1859</v>
      </c>
      <c r="I640" s="39" t="s">
        <v>1159</v>
      </c>
      <c r="J640" s="44">
        <v>60</v>
      </c>
      <c r="K640" s="44"/>
      <c r="L640" s="63">
        <v>60</v>
      </c>
      <c r="M640" s="64" t="s">
        <v>1381</v>
      </c>
      <c r="N640" s="2"/>
    </row>
    <row r="641" spans="1:14" ht="14.4">
      <c r="A641" s="42">
        <v>45813</v>
      </c>
      <c r="B641" s="61" t="s">
        <v>1860</v>
      </c>
      <c r="C641" s="39" t="s">
        <v>1861</v>
      </c>
      <c r="D641" s="20" t="s">
        <v>502</v>
      </c>
      <c r="E641" s="54" t="s">
        <v>447</v>
      </c>
      <c r="F641" s="54" t="s">
        <v>252</v>
      </c>
      <c r="G641" s="10" t="s">
        <v>23</v>
      </c>
      <c r="H641" s="39" t="s">
        <v>1862</v>
      </c>
      <c r="I641" s="39" t="s">
        <v>1091</v>
      </c>
      <c r="J641" s="44">
        <f t="shared" ref="J641:J642" si="3">L641/2</f>
        <v>545</v>
      </c>
      <c r="K641" s="44">
        <v>645</v>
      </c>
      <c r="L641" s="63">
        <v>1090</v>
      </c>
      <c r="M641" s="64" t="s">
        <v>742</v>
      </c>
      <c r="N641" s="2"/>
    </row>
    <row r="642" spans="1:14" ht="14.4">
      <c r="A642" s="42">
        <v>45813</v>
      </c>
      <c r="B642" s="61" t="s">
        <v>1863</v>
      </c>
      <c r="C642" s="39" t="s">
        <v>1864</v>
      </c>
      <c r="D642" s="20" t="s">
        <v>280</v>
      </c>
      <c r="E642" s="54" t="s">
        <v>519</v>
      </c>
      <c r="F642" s="54" t="s">
        <v>33</v>
      </c>
      <c r="G642" s="10" t="s">
        <v>23</v>
      </c>
      <c r="H642" s="39" t="s">
        <v>1225</v>
      </c>
      <c r="I642" s="39" t="s">
        <v>1194</v>
      </c>
      <c r="J642" s="44">
        <f t="shared" si="3"/>
        <v>1325</v>
      </c>
      <c r="K642" s="44">
        <f>L642/2</f>
        <v>1325</v>
      </c>
      <c r="L642" s="63">
        <v>2650</v>
      </c>
      <c r="M642" s="64" t="s">
        <v>742</v>
      </c>
      <c r="N642" s="2"/>
    </row>
    <row r="643" spans="1:14" ht="14.4">
      <c r="A643" s="42">
        <v>45813</v>
      </c>
      <c r="B643" s="61" t="s">
        <v>1865</v>
      </c>
      <c r="C643" s="19" t="s">
        <v>1866</v>
      </c>
      <c r="D643" s="20" t="s">
        <v>974</v>
      </c>
      <c r="E643" s="54" t="s">
        <v>519</v>
      </c>
      <c r="F643" s="54" t="s">
        <v>40</v>
      </c>
      <c r="G643" s="10" t="s">
        <v>40</v>
      </c>
      <c r="H643" s="39" t="s">
        <v>1677</v>
      </c>
      <c r="I643" s="39"/>
      <c r="J643" s="44">
        <v>250</v>
      </c>
      <c r="K643" s="44"/>
      <c r="L643" s="63">
        <v>250</v>
      </c>
      <c r="M643" s="64" t="s">
        <v>1686</v>
      </c>
      <c r="N643" s="2"/>
    </row>
    <row r="644" spans="1:14" ht="14.4">
      <c r="A644" s="42">
        <v>45814</v>
      </c>
      <c r="B644" s="61" t="s">
        <v>1867</v>
      </c>
      <c r="C644" s="39" t="s">
        <v>1868</v>
      </c>
      <c r="D644" s="20" t="s">
        <v>1035</v>
      </c>
      <c r="E644" s="54" t="s">
        <v>447</v>
      </c>
      <c r="F644" s="54" t="s">
        <v>487</v>
      </c>
      <c r="G644" s="10" t="s">
        <v>40</v>
      </c>
      <c r="H644" s="39" t="s">
        <v>1869</v>
      </c>
      <c r="I644" s="39"/>
      <c r="J644" s="44">
        <v>1120</v>
      </c>
      <c r="K644" s="44"/>
      <c r="L644" s="63">
        <v>1120</v>
      </c>
      <c r="M644" s="64" t="s">
        <v>1678</v>
      </c>
      <c r="N644" s="2"/>
    </row>
    <row r="645" spans="1:14" ht="14.4">
      <c r="A645" s="42">
        <v>45814</v>
      </c>
      <c r="B645" s="61" t="s">
        <v>1870</v>
      </c>
      <c r="C645" s="39" t="s">
        <v>1871</v>
      </c>
      <c r="D645" s="20" t="s">
        <v>1254</v>
      </c>
      <c r="E645" s="54" t="s">
        <v>447</v>
      </c>
      <c r="F645" s="54" t="s">
        <v>284</v>
      </c>
      <c r="G645" s="10" t="s">
        <v>23</v>
      </c>
      <c r="H645" s="39" t="s">
        <v>1872</v>
      </c>
      <c r="I645" s="39" t="s">
        <v>1091</v>
      </c>
      <c r="J645" s="44">
        <f>L645/2</f>
        <v>159.5</v>
      </c>
      <c r="K645" s="44"/>
      <c r="L645" s="44">
        <v>319</v>
      </c>
      <c r="M645" s="64" t="s">
        <v>1678</v>
      </c>
      <c r="N645" s="2"/>
    </row>
    <row r="646" spans="1:14" ht="14.4">
      <c r="A646" s="42">
        <v>45814</v>
      </c>
      <c r="B646" s="61" t="s">
        <v>1873</v>
      </c>
      <c r="C646" s="39" t="s">
        <v>1874</v>
      </c>
      <c r="D646" s="20" t="s">
        <v>280</v>
      </c>
      <c r="E646" s="54" t="s">
        <v>447</v>
      </c>
      <c r="F646" s="54" t="s">
        <v>252</v>
      </c>
      <c r="G646" s="10" t="s">
        <v>23</v>
      </c>
      <c r="H646" s="39" t="s">
        <v>919</v>
      </c>
      <c r="I646" s="39"/>
      <c r="J646" s="44">
        <v>25</v>
      </c>
      <c r="K646" s="44"/>
      <c r="L646" s="63">
        <v>25</v>
      </c>
      <c r="M646" s="64" t="s">
        <v>742</v>
      </c>
      <c r="N646" s="2"/>
    </row>
    <row r="647" spans="1:14" ht="14.4">
      <c r="A647" s="42">
        <v>45814</v>
      </c>
      <c r="B647" s="61" t="s">
        <v>1875</v>
      </c>
      <c r="C647" s="39" t="s">
        <v>1876</v>
      </c>
      <c r="D647" s="20" t="s">
        <v>502</v>
      </c>
      <c r="E647" s="54" t="s">
        <v>519</v>
      </c>
      <c r="F647" s="54" t="s">
        <v>33</v>
      </c>
      <c r="G647" s="10" t="s">
        <v>23</v>
      </c>
      <c r="H647" s="39" t="s">
        <v>919</v>
      </c>
      <c r="I647" s="39" t="s">
        <v>1220</v>
      </c>
      <c r="J647" s="44">
        <v>80</v>
      </c>
      <c r="K647" s="44"/>
      <c r="L647" s="63">
        <v>80</v>
      </c>
      <c r="M647" s="64" t="s">
        <v>1686</v>
      </c>
      <c r="N647" s="2"/>
    </row>
    <row r="648" spans="1:14" ht="14.4">
      <c r="A648" s="42">
        <v>45814</v>
      </c>
      <c r="B648" s="61" t="s">
        <v>1877</v>
      </c>
      <c r="C648" s="39" t="s">
        <v>1858</v>
      </c>
      <c r="D648" s="20" t="s">
        <v>1254</v>
      </c>
      <c r="E648" s="54" t="s">
        <v>447</v>
      </c>
      <c r="F648" s="54" t="s">
        <v>22</v>
      </c>
      <c r="G648" s="10" t="s">
        <v>23</v>
      </c>
      <c r="H648" s="39" t="s">
        <v>1519</v>
      </c>
      <c r="I648" s="39"/>
      <c r="J648" s="44">
        <v>134.5</v>
      </c>
      <c r="K648" s="44"/>
      <c r="L648" s="63">
        <v>269</v>
      </c>
      <c r="M648" s="64" t="s">
        <v>1381</v>
      </c>
      <c r="N648" s="2"/>
    </row>
    <row r="649" spans="1:14" ht="14.4">
      <c r="A649" s="42">
        <v>45815</v>
      </c>
      <c r="B649" s="61" t="s">
        <v>1878</v>
      </c>
      <c r="C649" s="39" t="s">
        <v>1879</v>
      </c>
      <c r="D649" s="20" t="s">
        <v>27</v>
      </c>
      <c r="E649" s="54" t="s">
        <v>447</v>
      </c>
      <c r="F649" s="54" t="s">
        <v>27</v>
      </c>
      <c r="G649" s="10" t="s">
        <v>27</v>
      </c>
      <c r="H649" s="39" t="s">
        <v>1880</v>
      </c>
      <c r="I649" s="39"/>
      <c r="J649" s="44">
        <v>290</v>
      </c>
      <c r="K649" s="44"/>
      <c r="L649" s="63">
        <v>290</v>
      </c>
      <c r="M649" s="64" t="s">
        <v>1686</v>
      </c>
      <c r="N649" s="2"/>
    </row>
    <row r="650" spans="1:14" ht="14.4">
      <c r="A650" s="42">
        <v>45817</v>
      </c>
      <c r="B650" s="61" t="s">
        <v>1849</v>
      </c>
      <c r="C650" s="39" t="s">
        <v>1850</v>
      </c>
      <c r="D650" s="20" t="s">
        <v>1033</v>
      </c>
      <c r="E650" s="54" t="s">
        <v>447</v>
      </c>
      <c r="F650" s="54" t="s">
        <v>487</v>
      </c>
      <c r="G650" s="10" t="s">
        <v>40</v>
      </c>
      <c r="H650" s="39" t="s">
        <v>1881</v>
      </c>
      <c r="I650" s="39"/>
      <c r="J650" s="44">
        <v>1680</v>
      </c>
      <c r="K650" s="44"/>
      <c r="L650" s="63">
        <v>1680</v>
      </c>
      <c r="M650" s="64" t="s">
        <v>1381</v>
      </c>
      <c r="N650" s="2"/>
    </row>
    <row r="651" spans="1:14" ht="18.75" customHeight="1">
      <c r="A651" s="42">
        <v>45817</v>
      </c>
      <c r="B651" s="61" t="s">
        <v>1873</v>
      </c>
      <c r="C651" s="39" t="s">
        <v>1882</v>
      </c>
      <c r="D651" s="20" t="s">
        <v>280</v>
      </c>
      <c r="E651" s="54" t="s">
        <v>447</v>
      </c>
      <c r="F651" s="54" t="s">
        <v>252</v>
      </c>
      <c r="G651" s="10" t="s">
        <v>23</v>
      </c>
      <c r="H651" s="39" t="s">
        <v>1883</v>
      </c>
      <c r="I651" s="39" t="s">
        <v>1220</v>
      </c>
      <c r="J651" s="44">
        <v>225</v>
      </c>
      <c r="K651" s="44">
        <v>225</v>
      </c>
      <c r="L651" s="63">
        <v>450</v>
      </c>
      <c r="M651" s="64" t="s">
        <v>742</v>
      </c>
      <c r="N651" s="2"/>
    </row>
    <row r="652" spans="1:14" ht="14.4">
      <c r="A652" s="42">
        <v>45817</v>
      </c>
      <c r="B652" s="61" t="s">
        <v>1884</v>
      </c>
      <c r="C652" s="39" t="s">
        <v>1490</v>
      </c>
      <c r="D652" s="20" t="s">
        <v>1035</v>
      </c>
      <c r="E652" s="54" t="s">
        <v>447</v>
      </c>
      <c r="F652" s="54" t="s">
        <v>1703</v>
      </c>
      <c r="G652" s="10" t="s">
        <v>40</v>
      </c>
      <c r="H652" s="39" t="s">
        <v>1703</v>
      </c>
      <c r="I652" s="39"/>
      <c r="J652" s="44">
        <v>125</v>
      </c>
      <c r="K652" s="44"/>
      <c r="L652" s="63">
        <v>125</v>
      </c>
      <c r="M652" s="64" t="s">
        <v>742</v>
      </c>
      <c r="N652" s="2"/>
    </row>
    <row r="653" spans="1:14" ht="15" customHeight="1">
      <c r="A653" s="42">
        <v>45817</v>
      </c>
      <c r="B653" s="61" t="s">
        <v>1885</v>
      </c>
      <c r="C653" s="39" t="s">
        <v>1886</v>
      </c>
      <c r="D653" s="20" t="s">
        <v>446</v>
      </c>
      <c r="E653" s="54" t="s">
        <v>519</v>
      </c>
      <c r="F653" s="54" t="s">
        <v>252</v>
      </c>
      <c r="G653" s="10" t="s">
        <v>23</v>
      </c>
      <c r="H653" s="39" t="s">
        <v>758</v>
      </c>
      <c r="I653" s="39" t="s">
        <v>1299</v>
      </c>
      <c r="J653" s="44">
        <v>295</v>
      </c>
      <c r="K653" s="44">
        <v>295</v>
      </c>
      <c r="L653" s="63">
        <v>590</v>
      </c>
      <c r="M653" s="64" t="s">
        <v>742</v>
      </c>
      <c r="N653" s="2"/>
    </row>
    <row r="654" spans="1:14" ht="14.4">
      <c r="A654" s="42">
        <v>45817</v>
      </c>
      <c r="B654" s="61" t="s">
        <v>1887</v>
      </c>
      <c r="C654" s="39" t="s">
        <v>1888</v>
      </c>
      <c r="D654" s="20" t="s">
        <v>1254</v>
      </c>
      <c r="E654" s="54" t="s">
        <v>519</v>
      </c>
      <c r="F654" s="54" t="s">
        <v>252</v>
      </c>
      <c r="G654" s="10" t="s">
        <v>23</v>
      </c>
      <c r="H654" s="39" t="s">
        <v>1889</v>
      </c>
      <c r="I654" s="39" t="s">
        <v>1173</v>
      </c>
      <c r="J654" s="44">
        <v>70</v>
      </c>
      <c r="K654" s="44"/>
      <c r="L654" s="63">
        <v>70</v>
      </c>
      <c r="M654" s="64" t="s">
        <v>1686</v>
      </c>
      <c r="N654" s="2"/>
    </row>
    <row r="655" spans="1:14" ht="14.4">
      <c r="A655" s="42">
        <v>45817</v>
      </c>
      <c r="B655" s="61" t="s">
        <v>1890</v>
      </c>
      <c r="C655" s="39" t="s">
        <v>1891</v>
      </c>
      <c r="D655" s="20" t="s">
        <v>280</v>
      </c>
      <c r="E655" s="54" t="s">
        <v>447</v>
      </c>
      <c r="F655" s="54" t="s">
        <v>33</v>
      </c>
      <c r="G655" s="10" t="s">
        <v>23</v>
      </c>
      <c r="H655" s="39" t="s">
        <v>1889</v>
      </c>
      <c r="I655" s="39" t="s">
        <v>1111</v>
      </c>
      <c r="J655" s="44">
        <v>50</v>
      </c>
      <c r="K655" s="44"/>
      <c r="L655" s="63">
        <v>50</v>
      </c>
      <c r="M655" s="64" t="s">
        <v>1678</v>
      </c>
      <c r="N655" s="2"/>
    </row>
    <row r="656" spans="1:14" ht="14.4">
      <c r="A656" s="42">
        <v>45817</v>
      </c>
      <c r="B656" s="61" t="s">
        <v>1892</v>
      </c>
      <c r="C656" s="39" t="s">
        <v>1893</v>
      </c>
      <c r="D656" s="20" t="s">
        <v>974</v>
      </c>
      <c r="E656" s="54" t="s">
        <v>447</v>
      </c>
      <c r="F656" s="54" t="s">
        <v>463</v>
      </c>
      <c r="G656" s="10" t="s">
        <v>40</v>
      </c>
      <c r="H656" s="39" t="s">
        <v>1894</v>
      </c>
      <c r="I656" s="39"/>
      <c r="J656" s="44">
        <v>90</v>
      </c>
      <c r="K656" s="44"/>
      <c r="L656" s="63">
        <v>90</v>
      </c>
      <c r="M656" s="64" t="s">
        <v>1686</v>
      </c>
      <c r="N656" s="2"/>
    </row>
    <row r="657" spans="1:14" ht="14.4">
      <c r="A657" s="42">
        <v>45818</v>
      </c>
      <c r="B657" s="61" t="s">
        <v>1895</v>
      </c>
      <c r="C657" s="39" t="s">
        <v>1896</v>
      </c>
      <c r="D657" s="20" t="s">
        <v>1035</v>
      </c>
      <c r="E657" s="54" t="s">
        <v>447</v>
      </c>
      <c r="F657" s="54" t="s">
        <v>463</v>
      </c>
      <c r="G657" s="10" t="s">
        <v>40</v>
      </c>
      <c r="H657" s="39" t="s">
        <v>1894</v>
      </c>
      <c r="I657" s="39"/>
      <c r="J657" s="44">
        <v>160</v>
      </c>
      <c r="K657" s="44"/>
      <c r="L657" s="63">
        <v>160</v>
      </c>
      <c r="M657" s="64" t="s">
        <v>1678</v>
      </c>
      <c r="N657" s="2"/>
    </row>
    <row r="658" spans="1:14" ht="14.4">
      <c r="A658" s="42">
        <v>45818</v>
      </c>
      <c r="B658" s="61" t="s">
        <v>1897</v>
      </c>
      <c r="C658" s="39" t="s">
        <v>1898</v>
      </c>
      <c r="D658" s="20" t="s">
        <v>1035</v>
      </c>
      <c r="E658" s="54" t="s">
        <v>447</v>
      </c>
      <c r="F658" s="54" t="s">
        <v>463</v>
      </c>
      <c r="G658" s="10" t="s">
        <v>40</v>
      </c>
      <c r="H658" s="39" t="s">
        <v>1894</v>
      </c>
      <c r="I658" s="39"/>
      <c r="J658" s="44">
        <v>120</v>
      </c>
      <c r="K658" s="44"/>
      <c r="L658" s="63">
        <v>120</v>
      </c>
      <c r="M658" s="64" t="s">
        <v>1678</v>
      </c>
      <c r="N658" s="2"/>
    </row>
    <row r="659" spans="1:14" ht="14.4">
      <c r="A659" s="42">
        <v>45818</v>
      </c>
      <c r="B659" s="61" t="s">
        <v>1892</v>
      </c>
      <c r="C659" s="39" t="s">
        <v>1893</v>
      </c>
      <c r="D659" s="20" t="s">
        <v>974</v>
      </c>
      <c r="E659" s="54" t="s">
        <v>447</v>
      </c>
      <c r="F659" s="54" t="s">
        <v>463</v>
      </c>
      <c r="G659" s="10" t="s">
        <v>40</v>
      </c>
      <c r="H659" s="39" t="s">
        <v>1899</v>
      </c>
      <c r="I659" s="39"/>
      <c r="J659" s="44">
        <v>172</v>
      </c>
      <c r="K659" s="44"/>
      <c r="L659" s="63">
        <v>172</v>
      </c>
      <c r="M659" s="64" t="s">
        <v>1686</v>
      </c>
      <c r="N659" s="2"/>
    </row>
    <row r="660" spans="1:14" ht="14.4">
      <c r="A660" s="42">
        <v>45819</v>
      </c>
      <c r="B660" s="61" t="s">
        <v>1900</v>
      </c>
      <c r="C660" s="39" t="s">
        <v>1901</v>
      </c>
      <c r="D660" s="20" t="s">
        <v>1254</v>
      </c>
      <c r="E660" s="54" t="s">
        <v>447</v>
      </c>
      <c r="F660" s="54" t="s">
        <v>1791</v>
      </c>
      <c r="G660" s="10" t="s">
        <v>23</v>
      </c>
      <c r="H660" s="39" t="s">
        <v>1902</v>
      </c>
      <c r="I660" s="39" t="s">
        <v>1085</v>
      </c>
      <c r="J660" s="44">
        <v>125</v>
      </c>
      <c r="K660" s="44">
        <v>125</v>
      </c>
      <c r="L660" s="63">
        <v>250</v>
      </c>
      <c r="M660" s="64" t="s">
        <v>742</v>
      </c>
      <c r="N660" s="2"/>
    </row>
    <row r="661" spans="1:14" ht="14.4">
      <c r="A661" s="42">
        <v>45819</v>
      </c>
      <c r="B661" s="61" t="s">
        <v>1903</v>
      </c>
      <c r="C661" s="39" t="s">
        <v>1904</v>
      </c>
      <c r="D661" s="20" t="s">
        <v>864</v>
      </c>
      <c r="E661" s="54" t="s">
        <v>447</v>
      </c>
      <c r="F661" s="54" t="s">
        <v>25</v>
      </c>
      <c r="G661" s="10" t="s">
        <v>25</v>
      </c>
      <c r="H661" s="39" t="s">
        <v>293</v>
      </c>
      <c r="I661" s="39"/>
      <c r="J661" s="44">
        <f>L661/2</f>
        <v>2195</v>
      </c>
      <c r="K661" s="44">
        <f>J661</f>
        <v>2195</v>
      </c>
      <c r="L661" s="63">
        <v>4390</v>
      </c>
      <c r="M661" s="64" t="s">
        <v>742</v>
      </c>
      <c r="N661" s="2"/>
    </row>
    <row r="662" spans="1:14" ht="14.4">
      <c r="A662" s="42">
        <v>45820</v>
      </c>
      <c r="B662" s="61" t="s">
        <v>1905</v>
      </c>
      <c r="C662" s="39" t="s">
        <v>1906</v>
      </c>
      <c r="D662" s="20" t="s">
        <v>280</v>
      </c>
      <c r="E662" s="54" t="s">
        <v>519</v>
      </c>
      <c r="F662" s="54" t="s">
        <v>252</v>
      </c>
      <c r="G662" s="10" t="s">
        <v>23</v>
      </c>
      <c r="H662" s="39" t="s">
        <v>1907</v>
      </c>
      <c r="I662" s="39" t="s">
        <v>1220</v>
      </c>
      <c r="J662" s="44">
        <v>595</v>
      </c>
      <c r="K662" s="44">
        <f>L662/2</f>
        <v>595</v>
      </c>
      <c r="L662" s="63">
        <v>1190</v>
      </c>
      <c r="M662" s="64" t="s">
        <v>742</v>
      </c>
      <c r="N662" s="2"/>
    </row>
    <row r="663" spans="1:14" ht="14.4">
      <c r="A663" s="42">
        <v>45820</v>
      </c>
      <c r="B663" s="61" t="s">
        <v>865</v>
      </c>
      <c r="C663" s="39" t="s">
        <v>1908</v>
      </c>
      <c r="D663" s="20" t="s">
        <v>502</v>
      </c>
      <c r="E663" s="54" t="s">
        <v>447</v>
      </c>
      <c r="F663" s="54" t="s">
        <v>33</v>
      </c>
      <c r="G663" s="10" t="s">
        <v>23</v>
      </c>
      <c r="H663" s="39" t="s">
        <v>1889</v>
      </c>
      <c r="I663" s="39" t="s">
        <v>1091</v>
      </c>
      <c r="J663" s="44">
        <v>60</v>
      </c>
      <c r="K663" s="44"/>
      <c r="L663" s="63">
        <v>60</v>
      </c>
      <c r="M663" s="64" t="s">
        <v>1678</v>
      </c>
      <c r="N663" s="2"/>
    </row>
    <row r="664" spans="1:14" ht="16.5" customHeight="1">
      <c r="A664" s="42">
        <v>45820</v>
      </c>
      <c r="B664" s="61" t="s">
        <v>1909</v>
      </c>
      <c r="C664" s="39" t="s">
        <v>1910</v>
      </c>
      <c r="D664" s="20" t="s">
        <v>1035</v>
      </c>
      <c r="E664" s="54" t="s">
        <v>447</v>
      </c>
      <c r="F664" s="54" t="s">
        <v>40</v>
      </c>
      <c r="G664" s="10" t="s">
        <v>40</v>
      </c>
      <c r="H664" s="39" t="s">
        <v>1911</v>
      </c>
      <c r="I664" s="39"/>
      <c r="J664" s="44">
        <v>1220</v>
      </c>
      <c r="K664" s="44"/>
      <c r="L664" s="63">
        <v>1220</v>
      </c>
      <c r="M664" s="64" t="s">
        <v>1678</v>
      </c>
      <c r="N664" s="2"/>
    </row>
    <row r="665" spans="1:14" ht="14.4">
      <c r="A665" s="42">
        <v>45820</v>
      </c>
      <c r="B665" s="61" t="s">
        <v>1912</v>
      </c>
      <c r="C665" s="39" t="s">
        <v>1913</v>
      </c>
      <c r="D665" s="20" t="s">
        <v>864</v>
      </c>
      <c r="E665" s="54" t="s">
        <v>447</v>
      </c>
      <c r="F665" s="54" t="s">
        <v>25</v>
      </c>
      <c r="G665" s="10" t="s">
        <v>25</v>
      </c>
      <c r="H665" s="39" t="s">
        <v>1477</v>
      </c>
      <c r="I665" s="39"/>
      <c r="J665" s="44">
        <v>590</v>
      </c>
      <c r="K665" s="44"/>
      <c r="L665" s="63">
        <v>590</v>
      </c>
      <c r="M665" s="64" t="s">
        <v>742</v>
      </c>
      <c r="N665" s="2"/>
    </row>
    <row r="666" spans="1:14" ht="14.4">
      <c r="A666" s="42">
        <v>45820</v>
      </c>
      <c r="B666" s="61" t="s">
        <v>1914</v>
      </c>
      <c r="C666" s="39" t="s">
        <v>1915</v>
      </c>
      <c r="D666" s="20" t="s">
        <v>1306</v>
      </c>
      <c r="E666" s="54" t="s">
        <v>447</v>
      </c>
      <c r="F666" s="54" t="s">
        <v>294</v>
      </c>
      <c r="G666" s="10" t="s">
        <v>294</v>
      </c>
      <c r="H666" s="39" t="s">
        <v>1880</v>
      </c>
      <c r="I666" s="39"/>
      <c r="J666" s="44">
        <v>300</v>
      </c>
      <c r="K666" s="44"/>
      <c r="L666" s="63">
        <v>300</v>
      </c>
      <c r="M666" s="64" t="s">
        <v>1678</v>
      </c>
      <c r="N666" s="2"/>
    </row>
    <row r="667" spans="1:14" ht="14.4">
      <c r="A667" s="42">
        <v>45821</v>
      </c>
      <c r="B667" s="61" t="s">
        <v>1916</v>
      </c>
      <c r="C667" s="39" t="s">
        <v>1917</v>
      </c>
      <c r="D667" s="20" t="s">
        <v>502</v>
      </c>
      <c r="E667" s="54" t="s">
        <v>519</v>
      </c>
      <c r="F667" s="54" t="s">
        <v>33</v>
      </c>
      <c r="G667" s="10" t="s">
        <v>23</v>
      </c>
      <c r="H667" s="39" t="s">
        <v>919</v>
      </c>
      <c r="I667" s="39" t="s">
        <v>1091</v>
      </c>
      <c r="J667" s="44">
        <v>30</v>
      </c>
      <c r="K667" s="44"/>
      <c r="L667" s="63">
        <v>30</v>
      </c>
      <c r="M667" s="64" t="s">
        <v>742</v>
      </c>
      <c r="N667" s="2"/>
    </row>
    <row r="668" spans="1:14" ht="14.4">
      <c r="A668" s="42">
        <v>45821</v>
      </c>
      <c r="B668" s="61" t="s">
        <v>1918</v>
      </c>
      <c r="C668" s="39" t="s">
        <v>1919</v>
      </c>
      <c r="D668" s="20" t="s">
        <v>280</v>
      </c>
      <c r="E668" s="54" t="s">
        <v>519</v>
      </c>
      <c r="F668" s="54" t="s">
        <v>252</v>
      </c>
      <c r="G668" s="10" t="s">
        <v>23</v>
      </c>
      <c r="H668" s="39" t="s">
        <v>919</v>
      </c>
      <c r="I668" s="39" t="s">
        <v>1220</v>
      </c>
      <c r="J668" s="44">
        <v>50</v>
      </c>
      <c r="K668" s="44"/>
      <c r="L668" s="63">
        <v>50</v>
      </c>
      <c r="M668" s="64" t="s">
        <v>1678</v>
      </c>
      <c r="N668" s="2"/>
    </row>
    <row r="669" spans="1:14" ht="14.4">
      <c r="A669" s="42">
        <v>45821</v>
      </c>
      <c r="B669" s="61" t="s">
        <v>1920</v>
      </c>
      <c r="C669" s="39" t="s">
        <v>1921</v>
      </c>
      <c r="D669" s="20" t="s">
        <v>502</v>
      </c>
      <c r="E669" s="54" t="s">
        <v>447</v>
      </c>
      <c r="F669" s="54" t="s">
        <v>33</v>
      </c>
      <c r="G669" s="10" t="s">
        <v>23</v>
      </c>
      <c r="H669" s="39" t="s">
        <v>919</v>
      </c>
      <c r="I669" s="39" t="s">
        <v>1299</v>
      </c>
      <c r="J669" s="44">
        <v>80</v>
      </c>
      <c r="K669" s="44"/>
      <c r="L669" s="63">
        <v>80</v>
      </c>
      <c r="M669" s="64" t="s">
        <v>742</v>
      </c>
      <c r="N669" s="2"/>
    </row>
    <row r="670" spans="1:14" ht="14.4">
      <c r="A670" s="42">
        <v>45822</v>
      </c>
      <c r="B670" s="61" t="s">
        <v>1922</v>
      </c>
      <c r="C670" s="39" t="s">
        <v>1923</v>
      </c>
      <c r="D670" s="20" t="s">
        <v>280</v>
      </c>
      <c r="E670" s="54" t="s">
        <v>519</v>
      </c>
      <c r="F670" s="54" t="s">
        <v>252</v>
      </c>
      <c r="G670" s="10" t="s">
        <v>23</v>
      </c>
      <c r="H670" s="39" t="s">
        <v>1924</v>
      </c>
      <c r="I670" s="39" t="s">
        <v>1291</v>
      </c>
      <c r="J670" s="44">
        <v>115</v>
      </c>
      <c r="K670" s="44">
        <v>115</v>
      </c>
      <c r="L670" s="63">
        <v>230</v>
      </c>
      <c r="M670" s="64" t="s">
        <v>742</v>
      </c>
      <c r="N670" s="2"/>
    </row>
    <row r="671" spans="1:14" ht="14.4">
      <c r="A671" s="42">
        <v>45819</v>
      </c>
      <c r="B671" s="61" t="s">
        <v>1925</v>
      </c>
      <c r="C671" s="39" t="s">
        <v>1926</v>
      </c>
      <c r="D671" s="20" t="s">
        <v>1035</v>
      </c>
      <c r="E671" s="54" t="s">
        <v>519</v>
      </c>
      <c r="F671" s="54" t="s">
        <v>487</v>
      </c>
      <c r="G671" s="10" t="s">
        <v>40</v>
      </c>
      <c r="H671" s="39" t="s">
        <v>1620</v>
      </c>
      <c r="I671" s="39"/>
      <c r="J671" s="44">
        <v>360</v>
      </c>
      <c r="K671" s="44"/>
      <c r="L671" s="63">
        <v>720</v>
      </c>
      <c r="M671" s="64" t="s">
        <v>1381</v>
      </c>
      <c r="N671" s="2"/>
    </row>
    <row r="672" spans="1:14" ht="14.4">
      <c r="A672" s="42">
        <v>45822</v>
      </c>
      <c r="B672" s="61" t="s">
        <v>1927</v>
      </c>
      <c r="C672" s="39" t="s">
        <v>1928</v>
      </c>
      <c r="D672" s="20" t="s">
        <v>280</v>
      </c>
      <c r="E672" s="54" t="s">
        <v>447</v>
      </c>
      <c r="F672" s="54" t="s">
        <v>23</v>
      </c>
      <c r="G672" s="10" t="s">
        <v>23</v>
      </c>
      <c r="H672" s="39" t="s">
        <v>1929</v>
      </c>
      <c r="I672" s="39" t="s">
        <v>1159</v>
      </c>
      <c r="J672" s="44">
        <v>75</v>
      </c>
      <c r="K672" s="44"/>
      <c r="L672" s="63">
        <v>75</v>
      </c>
      <c r="M672" s="64" t="s">
        <v>1678</v>
      </c>
      <c r="N672" s="2"/>
    </row>
    <row r="673" spans="1:14" ht="14.4">
      <c r="A673" s="42">
        <v>45822</v>
      </c>
      <c r="B673" s="61" t="s">
        <v>1930</v>
      </c>
      <c r="C673" s="39" t="s">
        <v>1931</v>
      </c>
      <c r="D673" s="20" t="s">
        <v>1033</v>
      </c>
      <c r="E673" s="54" t="s">
        <v>447</v>
      </c>
      <c r="F673" s="54" t="s">
        <v>487</v>
      </c>
      <c r="G673" s="10" t="s">
        <v>40</v>
      </c>
      <c r="H673" s="39" t="s">
        <v>1932</v>
      </c>
      <c r="I673" s="39"/>
      <c r="J673" s="44">
        <v>780</v>
      </c>
      <c r="K673" s="44"/>
      <c r="L673" s="63">
        <v>780</v>
      </c>
      <c r="M673" s="64" t="s">
        <v>1381</v>
      </c>
      <c r="N673" s="2"/>
    </row>
    <row r="674" spans="1:14" ht="14.4">
      <c r="A674" s="42">
        <v>45822</v>
      </c>
      <c r="B674" s="61" t="s">
        <v>1933</v>
      </c>
      <c r="C674" s="39" t="s">
        <v>1934</v>
      </c>
      <c r="D674" s="20" t="s">
        <v>974</v>
      </c>
      <c r="E674" s="54" t="s">
        <v>447</v>
      </c>
      <c r="F674" s="54" t="s">
        <v>1703</v>
      </c>
      <c r="G674" s="10" t="s">
        <v>40</v>
      </c>
      <c r="H674" s="39" t="s">
        <v>1935</v>
      </c>
      <c r="I674" s="39"/>
      <c r="J674" s="44">
        <v>50</v>
      </c>
      <c r="K674" s="44"/>
      <c r="L674" s="63">
        <v>50</v>
      </c>
      <c r="M674" s="64" t="s">
        <v>1678</v>
      </c>
      <c r="N674" s="2"/>
    </row>
    <row r="675" spans="1:14" ht="14.4">
      <c r="A675" s="42">
        <v>45822</v>
      </c>
      <c r="B675" s="61" t="s">
        <v>1936</v>
      </c>
      <c r="C675" s="39" t="s">
        <v>1937</v>
      </c>
      <c r="D675" s="20" t="s">
        <v>1033</v>
      </c>
      <c r="E675" s="54" t="s">
        <v>519</v>
      </c>
      <c r="F675" s="54" t="s">
        <v>463</v>
      </c>
      <c r="G675" s="10" t="s">
        <v>40</v>
      </c>
      <c r="H675" s="39" t="s">
        <v>484</v>
      </c>
      <c r="I675" s="39"/>
      <c r="J675" s="44">
        <v>190</v>
      </c>
      <c r="K675" s="44"/>
      <c r="L675" s="63">
        <v>190</v>
      </c>
      <c r="M675" s="64" t="s">
        <v>1381</v>
      </c>
      <c r="N675" s="2"/>
    </row>
    <row r="676" spans="1:14" ht="14.4">
      <c r="A676" s="42">
        <v>45824</v>
      </c>
      <c r="B676" s="61" t="s">
        <v>1938</v>
      </c>
      <c r="C676" s="39" t="s">
        <v>1939</v>
      </c>
      <c r="D676" s="20" t="s">
        <v>1033</v>
      </c>
      <c r="E676" s="54" t="s">
        <v>519</v>
      </c>
      <c r="F676" s="54" t="s">
        <v>40</v>
      </c>
      <c r="G676" s="10" t="s">
        <v>40</v>
      </c>
      <c r="H676" s="39" t="s">
        <v>1677</v>
      </c>
      <c r="I676" s="39"/>
      <c r="J676" s="44">
        <v>182</v>
      </c>
      <c r="K676" s="44"/>
      <c r="L676" s="63">
        <v>182</v>
      </c>
      <c r="M676" s="64" t="s">
        <v>742</v>
      </c>
      <c r="N676" s="2"/>
    </row>
    <row r="677" spans="1:14" ht="14.4">
      <c r="A677" s="42">
        <v>45824</v>
      </c>
      <c r="B677" s="61" t="s">
        <v>1940</v>
      </c>
      <c r="C677" s="39" t="s">
        <v>1941</v>
      </c>
      <c r="D677" s="20" t="s">
        <v>1254</v>
      </c>
      <c r="E677" s="54" t="s">
        <v>447</v>
      </c>
      <c r="F677" s="54" t="s">
        <v>1942</v>
      </c>
      <c r="G677" s="10" t="s">
        <v>23</v>
      </c>
      <c r="H677" s="39" t="s">
        <v>919</v>
      </c>
      <c r="I677" s="39" t="s">
        <v>1164</v>
      </c>
      <c r="J677" s="44">
        <v>70</v>
      </c>
      <c r="K677" s="44"/>
      <c r="L677" s="63">
        <v>70</v>
      </c>
      <c r="M677" s="64" t="s">
        <v>1678</v>
      </c>
      <c r="N677" s="2"/>
    </row>
    <row r="678" spans="1:14" ht="14.4">
      <c r="A678" s="42">
        <v>45824</v>
      </c>
      <c r="B678" s="61" t="s">
        <v>1943</v>
      </c>
      <c r="C678" s="39" t="s">
        <v>1944</v>
      </c>
      <c r="D678" s="20" t="s">
        <v>280</v>
      </c>
      <c r="E678" s="54" t="s">
        <v>447</v>
      </c>
      <c r="F678" s="54" t="s">
        <v>22</v>
      </c>
      <c r="G678" s="10" t="s">
        <v>23</v>
      </c>
      <c r="H678" s="39" t="s">
        <v>1030</v>
      </c>
      <c r="I678" s="39" t="s">
        <v>1607</v>
      </c>
      <c r="J678" s="44">
        <v>114.5</v>
      </c>
      <c r="K678" s="44">
        <v>114.5</v>
      </c>
      <c r="L678" s="63">
        <v>229</v>
      </c>
      <c r="M678" s="64" t="s">
        <v>1678</v>
      </c>
      <c r="N678" s="2"/>
    </row>
    <row r="679" spans="1:14" ht="14.4">
      <c r="A679" s="42">
        <v>45824</v>
      </c>
      <c r="B679" s="61" t="s">
        <v>1945</v>
      </c>
      <c r="C679" s="39" t="s">
        <v>1946</v>
      </c>
      <c r="D679" s="20" t="s">
        <v>1035</v>
      </c>
      <c r="E679" s="54" t="s">
        <v>447</v>
      </c>
      <c r="F679" s="54" t="s">
        <v>463</v>
      </c>
      <c r="G679" s="10" t="s">
        <v>40</v>
      </c>
      <c r="H679" s="39" t="s">
        <v>1677</v>
      </c>
      <c r="I679" s="39"/>
      <c r="J679" s="44">
        <v>65</v>
      </c>
      <c r="K679" s="44"/>
      <c r="L679" s="63">
        <v>65</v>
      </c>
      <c r="M679" s="64" t="s">
        <v>1678</v>
      </c>
      <c r="N679" s="2"/>
    </row>
    <row r="680" spans="1:14" ht="14.4">
      <c r="A680" s="42">
        <v>45824</v>
      </c>
      <c r="B680" s="61" t="s">
        <v>1947</v>
      </c>
      <c r="C680" s="39" t="s">
        <v>1948</v>
      </c>
      <c r="D680" s="20" t="s">
        <v>974</v>
      </c>
      <c r="E680" s="54" t="s">
        <v>447</v>
      </c>
      <c r="F680" s="54" t="s">
        <v>463</v>
      </c>
      <c r="G680" s="10" t="s">
        <v>40</v>
      </c>
      <c r="H680" s="39" t="s">
        <v>1949</v>
      </c>
      <c r="I680" s="39"/>
      <c r="J680" s="44">
        <v>50</v>
      </c>
      <c r="K680" s="44"/>
      <c r="L680" s="63">
        <v>50</v>
      </c>
      <c r="M680" s="64" t="s">
        <v>480</v>
      </c>
      <c r="N680" s="2"/>
    </row>
    <row r="681" spans="1:14" ht="14.4">
      <c r="A681" s="42">
        <v>45824</v>
      </c>
      <c r="B681" s="61" t="s">
        <v>1918</v>
      </c>
      <c r="C681" s="39" t="s">
        <v>1919</v>
      </c>
      <c r="D681" s="20" t="s">
        <v>280</v>
      </c>
      <c r="E681" s="54" t="s">
        <v>447</v>
      </c>
      <c r="F681" s="54" t="s">
        <v>252</v>
      </c>
      <c r="G681" s="10" t="s">
        <v>23</v>
      </c>
      <c r="H681" s="39" t="s">
        <v>628</v>
      </c>
      <c r="I681" s="39" t="s">
        <v>1220</v>
      </c>
      <c r="J681" s="44">
        <v>774</v>
      </c>
      <c r="K681" s="44"/>
      <c r="L681" s="63">
        <v>1290</v>
      </c>
      <c r="M681" s="64" t="s">
        <v>1678</v>
      </c>
      <c r="N681" s="2"/>
    </row>
    <row r="682" spans="1:14" ht="14.4">
      <c r="A682" s="42">
        <v>45824</v>
      </c>
      <c r="B682" s="61" t="s">
        <v>1950</v>
      </c>
      <c r="C682" s="39" t="s">
        <v>1951</v>
      </c>
      <c r="D682" s="20" t="s">
        <v>1254</v>
      </c>
      <c r="E682" s="54" t="s">
        <v>447</v>
      </c>
      <c r="F682" s="54" t="s">
        <v>252</v>
      </c>
      <c r="G682" s="10" t="s">
        <v>23</v>
      </c>
      <c r="H682" s="39" t="s">
        <v>628</v>
      </c>
      <c r="I682" s="39" t="s">
        <v>1091</v>
      </c>
      <c r="J682" s="44">
        <v>1095</v>
      </c>
      <c r="K682" s="44"/>
      <c r="L682" s="63">
        <v>2190</v>
      </c>
      <c r="M682" s="64" t="s">
        <v>1678</v>
      </c>
      <c r="N682" s="2"/>
    </row>
    <row r="683" spans="1:14" ht="14.4">
      <c r="A683" s="42">
        <v>45824</v>
      </c>
      <c r="B683" s="61" t="s">
        <v>1952</v>
      </c>
      <c r="C683" s="39" t="s">
        <v>1953</v>
      </c>
      <c r="D683" s="20" t="s">
        <v>1254</v>
      </c>
      <c r="E683" s="54" t="s">
        <v>447</v>
      </c>
      <c r="F683" s="54" t="s">
        <v>284</v>
      </c>
      <c r="G683" s="10" t="s">
        <v>23</v>
      </c>
      <c r="H683" s="39" t="s">
        <v>1902</v>
      </c>
      <c r="I683" s="39" t="s">
        <v>1954</v>
      </c>
      <c r="J683" s="44">
        <v>295</v>
      </c>
      <c r="K683" s="44"/>
      <c r="L683" s="63">
        <v>295</v>
      </c>
      <c r="M683" s="64" t="s">
        <v>742</v>
      </c>
      <c r="N683" s="2"/>
    </row>
    <row r="684" spans="1:14" ht="14.4">
      <c r="A684" s="42">
        <v>45824</v>
      </c>
      <c r="B684" s="61" t="s">
        <v>1370</v>
      </c>
      <c r="C684" s="39" t="s">
        <v>1336</v>
      </c>
      <c r="D684" s="20" t="s">
        <v>974</v>
      </c>
      <c r="E684" s="54" t="s">
        <v>447</v>
      </c>
      <c r="F684" s="54" t="s">
        <v>463</v>
      </c>
      <c r="G684" s="10" t="s">
        <v>40</v>
      </c>
      <c r="H684" s="39" t="s">
        <v>1371</v>
      </c>
      <c r="I684" s="39"/>
      <c r="J684" s="44">
        <v>45</v>
      </c>
      <c r="K684" s="44"/>
      <c r="L684" s="63">
        <v>45</v>
      </c>
      <c r="M684" s="64" t="s">
        <v>480</v>
      </c>
      <c r="N684" s="2"/>
    </row>
    <row r="685" spans="1:14" ht="14.4">
      <c r="A685" s="42">
        <v>45824</v>
      </c>
      <c r="B685" s="61" t="s">
        <v>1955</v>
      </c>
      <c r="C685" s="39" t="s">
        <v>1898</v>
      </c>
      <c r="D685" s="20" t="s">
        <v>1035</v>
      </c>
      <c r="E685" s="54" t="s">
        <v>447</v>
      </c>
      <c r="F685" s="54" t="s">
        <v>463</v>
      </c>
      <c r="G685" s="10" t="s">
        <v>40</v>
      </c>
      <c r="H685" s="39" t="s">
        <v>484</v>
      </c>
      <c r="I685" s="39"/>
      <c r="J685" s="44">
        <v>120</v>
      </c>
      <c r="K685" s="44"/>
      <c r="L685" s="63">
        <v>120</v>
      </c>
      <c r="M685" s="64" t="s">
        <v>1678</v>
      </c>
      <c r="N685" s="2"/>
    </row>
    <row r="686" spans="1:14" ht="14.4">
      <c r="A686" s="42">
        <v>45824</v>
      </c>
      <c r="B686" s="61" t="s">
        <v>1956</v>
      </c>
      <c r="C686" s="39" t="s">
        <v>1957</v>
      </c>
      <c r="D686" s="20" t="s">
        <v>1035</v>
      </c>
      <c r="E686" s="54" t="s">
        <v>447</v>
      </c>
      <c r="F686" s="54" t="s">
        <v>487</v>
      </c>
      <c r="G686" s="10" t="s">
        <v>40</v>
      </c>
      <c r="H686" s="39" t="s">
        <v>672</v>
      </c>
      <c r="I686" s="39"/>
      <c r="J686" s="44">
        <v>650</v>
      </c>
      <c r="K686" s="44"/>
      <c r="L686" s="63">
        <v>650</v>
      </c>
      <c r="M686" s="64" t="s">
        <v>742</v>
      </c>
      <c r="N686" s="2"/>
    </row>
    <row r="687" spans="1:14" ht="14.4">
      <c r="A687" s="42">
        <v>45824</v>
      </c>
      <c r="B687" s="61" t="s">
        <v>1958</v>
      </c>
      <c r="C687" s="39" t="s">
        <v>1959</v>
      </c>
      <c r="D687" s="20" t="s">
        <v>1035</v>
      </c>
      <c r="E687" s="54" t="s">
        <v>447</v>
      </c>
      <c r="F687" s="54" t="s">
        <v>487</v>
      </c>
      <c r="G687" s="10" t="s">
        <v>40</v>
      </c>
      <c r="H687" s="39" t="s">
        <v>672</v>
      </c>
      <c r="I687" s="39"/>
      <c r="J687" s="44">
        <v>740</v>
      </c>
      <c r="K687" s="44"/>
      <c r="L687" s="63">
        <v>740</v>
      </c>
      <c r="M687" s="64" t="s">
        <v>1678</v>
      </c>
      <c r="N687" s="2"/>
    </row>
    <row r="688" spans="1:14" ht="14.4">
      <c r="A688" s="42">
        <v>45824</v>
      </c>
      <c r="B688" s="61" t="s">
        <v>1960</v>
      </c>
      <c r="C688" s="39" t="s">
        <v>1961</v>
      </c>
      <c r="D688" s="20" t="s">
        <v>985</v>
      </c>
      <c r="E688" s="54" t="s">
        <v>447</v>
      </c>
      <c r="F688" s="54" t="s">
        <v>22</v>
      </c>
      <c r="G688" s="10" t="s">
        <v>23</v>
      </c>
      <c r="H688" s="39" t="s">
        <v>1519</v>
      </c>
      <c r="I688" s="39" t="s">
        <v>1325</v>
      </c>
      <c r="J688" s="44">
        <v>190</v>
      </c>
      <c r="K688" s="44"/>
      <c r="L688" s="63">
        <v>190</v>
      </c>
      <c r="M688" s="64" t="s">
        <v>1381</v>
      </c>
      <c r="N688" s="2"/>
    </row>
    <row r="689" spans="1:14" ht="14.4">
      <c r="A689" s="42">
        <v>45825</v>
      </c>
      <c r="B689" s="61" t="s">
        <v>1962</v>
      </c>
      <c r="C689" s="39" t="s">
        <v>1963</v>
      </c>
      <c r="D689" s="20" t="s">
        <v>864</v>
      </c>
      <c r="E689" s="54" t="s">
        <v>447</v>
      </c>
      <c r="F689" s="54" t="s">
        <v>25</v>
      </c>
      <c r="G689" s="10" t="s">
        <v>25</v>
      </c>
      <c r="H689" s="39" t="s">
        <v>246</v>
      </c>
      <c r="I689" s="39"/>
      <c r="J689" s="44">
        <v>600</v>
      </c>
      <c r="K689" s="44">
        <v>600</v>
      </c>
      <c r="L689" s="63">
        <v>1200</v>
      </c>
      <c r="M689" s="64" t="s">
        <v>1678</v>
      </c>
      <c r="N689" s="2"/>
    </row>
    <row r="690" spans="1:14" ht="14.4">
      <c r="A690" s="42">
        <v>45825</v>
      </c>
      <c r="B690" s="61" t="s">
        <v>1964</v>
      </c>
      <c r="C690" s="39" t="s">
        <v>1913</v>
      </c>
      <c r="D690" s="20" t="s">
        <v>864</v>
      </c>
      <c r="E690" s="54" t="s">
        <v>447</v>
      </c>
      <c r="F690" s="54" t="s">
        <v>25</v>
      </c>
      <c r="G690" s="10" t="s">
        <v>25</v>
      </c>
      <c r="H690" s="39" t="s">
        <v>1965</v>
      </c>
      <c r="I690" s="39"/>
      <c r="J690" s="44">
        <v>1180</v>
      </c>
      <c r="K690" s="44"/>
      <c r="L690" s="63">
        <v>1180</v>
      </c>
      <c r="M690" s="64" t="s">
        <v>742</v>
      </c>
      <c r="N690" s="2"/>
    </row>
    <row r="691" spans="1:14" ht="14.4">
      <c r="A691" s="42">
        <v>45825</v>
      </c>
      <c r="B691" s="61" t="s">
        <v>1966</v>
      </c>
      <c r="C691" s="39" t="s">
        <v>1967</v>
      </c>
      <c r="D691" s="20" t="s">
        <v>27</v>
      </c>
      <c r="E691" s="54" t="s">
        <v>447</v>
      </c>
      <c r="F691" s="54" t="s">
        <v>27</v>
      </c>
      <c r="G691" s="10" t="s">
        <v>27</v>
      </c>
      <c r="H691" s="39" t="s">
        <v>1968</v>
      </c>
      <c r="I691" s="39"/>
      <c r="J691" s="44">
        <v>400</v>
      </c>
      <c r="K691" s="44"/>
      <c r="L691" s="63">
        <v>400</v>
      </c>
      <c r="M691" s="64" t="s">
        <v>1678</v>
      </c>
      <c r="N691" s="2"/>
    </row>
    <row r="692" spans="1:14" ht="14.4">
      <c r="A692" s="42">
        <v>45824</v>
      </c>
      <c r="B692" s="61" t="s">
        <v>1969</v>
      </c>
      <c r="C692" s="39" t="s">
        <v>1970</v>
      </c>
      <c r="D692" s="20" t="s">
        <v>985</v>
      </c>
      <c r="E692" s="54" t="s">
        <v>447</v>
      </c>
      <c r="F692" s="54" t="s">
        <v>22</v>
      </c>
      <c r="G692" s="10" t="s">
        <v>23</v>
      </c>
      <c r="H692" s="39" t="s">
        <v>1584</v>
      </c>
      <c r="I692" s="39" t="s">
        <v>1825</v>
      </c>
      <c r="J692" s="44">
        <v>114.5</v>
      </c>
      <c r="K692" s="44">
        <v>104</v>
      </c>
      <c r="L692" s="63">
        <f>J692+K692</f>
        <v>218.5</v>
      </c>
      <c r="M692" s="64" t="s">
        <v>1381</v>
      </c>
      <c r="N692" s="2"/>
    </row>
    <row r="693" spans="1:14" ht="14.4">
      <c r="A693" s="42">
        <v>45825</v>
      </c>
      <c r="B693" s="61" t="s">
        <v>1971</v>
      </c>
      <c r="C693" s="39" t="s">
        <v>1972</v>
      </c>
      <c r="D693" s="20" t="s">
        <v>502</v>
      </c>
      <c r="E693" s="54" t="s">
        <v>447</v>
      </c>
      <c r="F693" s="54" t="s">
        <v>33</v>
      </c>
      <c r="G693" s="10" t="s">
        <v>23</v>
      </c>
      <c r="H693" s="39" t="s">
        <v>1594</v>
      </c>
      <c r="I693" s="39" t="s">
        <v>1069</v>
      </c>
      <c r="J693" s="44">
        <v>50</v>
      </c>
      <c r="K693" s="44"/>
      <c r="L693" s="63">
        <v>50</v>
      </c>
      <c r="M693" s="64" t="s">
        <v>1381</v>
      </c>
      <c r="N693" s="2"/>
    </row>
    <row r="694" spans="1:14" ht="14.4">
      <c r="A694" s="42">
        <v>45825</v>
      </c>
      <c r="B694" s="61" t="s">
        <v>1973</v>
      </c>
      <c r="C694" s="39" t="s">
        <v>1974</v>
      </c>
      <c r="D694" s="20" t="s">
        <v>1254</v>
      </c>
      <c r="E694" s="54" t="s">
        <v>447</v>
      </c>
      <c r="F694" s="54" t="s">
        <v>252</v>
      </c>
      <c r="G694" s="10" t="s">
        <v>23</v>
      </c>
      <c r="H694" s="39" t="s">
        <v>1975</v>
      </c>
      <c r="I694" s="39" t="s">
        <v>1607</v>
      </c>
      <c r="J694" s="44">
        <v>80</v>
      </c>
      <c r="K694" s="44"/>
      <c r="L694" s="63">
        <v>80</v>
      </c>
      <c r="M694" s="64" t="s">
        <v>1381</v>
      </c>
      <c r="N694" s="2"/>
    </row>
    <row r="695" spans="1:14" ht="14.4">
      <c r="A695" s="42">
        <v>45825</v>
      </c>
      <c r="B695" s="61" t="s">
        <v>1976</v>
      </c>
      <c r="C695" s="39" t="s">
        <v>1977</v>
      </c>
      <c r="D695" s="20" t="s">
        <v>446</v>
      </c>
      <c r="E695" s="54" t="s">
        <v>447</v>
      </c>
      <c r="F695" s="54" t="s">
        <v>33</v>
      </c>
      <c r="G695" s="10" t="s">
        <v>23</v>
      </c>
      <c r="H695" s="39" t="s">
        <v>1594</v>
      </c>
      <c r="I695" s="39" t="s">
        <v>1091</v>
      </c>
      <c r="J695" s="44">
        <v>80</v>
      </c>
      <c r="K695" s="44"/>
      <c r="L695" s="63">
        <v>80</v>
      </c>
      <c r="M695" s="64" t="s">
        <v>1381</v>
      </c>
      <c r="N695" s="2"/>
    </row>
    <row r="696" spans="1:14" ht="14.4">
      <c r="A696" s="42">
        <v>45825</v>
      </c>
      <c r="B696" s="61" t="s">
        <v>1978</v>
      </c>
      <c r="C696" s="39" t="s">
        <v>1979</v>
      </c>
      <c r="D696" s="20" t="s">
        <v>1035</v>
      </c>
      <c r="E696" s="54" t="s">
        <v>447</v>
      </c>
      <c r="F696" s="54" t="s">
        <v>40</v>
      </c>
      <c r="G696" s="10" t="s">
        <v>40</v>
      </c>
      <c r="H696" s="39" t="s">
        <v>1980</v>
      </c>
      <c r="I696" s="39"/>
      <c r="J696" s="44">
        <v>106</v>
      </c>
      <c r="K696" s="44"/>
      <c r="L696" s="63">
        <v>106</v>
      </c>
      <c r="M696" s="64" t="s">
        <v>1381</v>
      </c>
      <c r="N696" s="2"/>
    </row>
    <row r="697" spans="1:14" ht="14.4">
      <c r="A697" s="42">
        <v>45825</v>
      </c>
      <c r="B697" s="61" t="s">
        <v>1981</v>
      </c>
      <c r="C697" s="39" t="s">
        <v>1982</v>
      </c>
      <c r="D697" s="20" t="s">
        <v>985</v>
      </c>
      <c r="E697" s="54" t="s">
        <v>447</v>
      </c>
      <c r="F697" s="54" t="s">
        <v>22</v>
      </c>
      <c r="G697" s="10" t="s">
        <v>23</v>
      </c>
      <c r="H697" s="39" t="s">
        <v>1519</v>
      </c>
      <c r="I697" s="39"/>
      <c r="J697" s="44">
        <v>115</v>
      </c>
      <c r="K697" s="44">
        <v>115</v>
      </c>
      <c r="L697" s="63">
        <v>230</v>
      </c>
      <c r="M697" s="64" t="s">
        <v>1381</v>
      </c>
      <c r="N697" s="2"/>
    </row>
    <row r="698" spans="1:14" ht="14.4">
      <c r="A698" s="42">
        <v>45826</v>
      </c>
      <c r="B698" s="61" t="s">
        <v>704</v>
      </c>
      <c r="C698" s="39" t="s">
        <v>1983</v>
      </c>
      <c r="D698" s="20" t="s">
        <v>446</v>
      </c>
      <c r="E698" s="54" t="s">
        <v>447</v>
      </c>
      <c r="F698" s="54" t="s">
        <v>252</v>
      </c>
      <c r="G698" s="10" t="s">
        <v>23</v>
      </c>
      <c r="H698" s="39" t="s">
        <v>758</v>
      </c>
      <c r="I698" s="39" t="s">
        <v>1325</v>
      </c>
      <c r="J698" s="44">
        <v>245</v>
      </c>
      <c r="K698" s="44">
        <v>245</v>
      </c>
      <c r="L698" s="63">
        <v>490</v>
      </c>
      <c r="M698" s="64" t="s">
        <v>742</v>
      </c>
      <c r="N698" s="2"/>
    </row>
    <row r="699" spans="1:14" ht="14.4">
      <c r="A699" s="42">
        <v>45826</v>
      </c>
      <c r="B699" s="61" t="s">
        <v>1984</v>
      </c>
      <c r="C699" s="39" t="s">
        <v>1985</v>
      </c>
      <c r="D699" s="20" t="s">
        <v>1035</v>
      </c>
      <c r="E699" s="54" t="s">
        <v>447</v>
      </c>
      <c r="F699" s="54" t="s">
        <v>40</v>
      </c>
      <c r="G699" s="10" t="s">
        <v>40</v>
      </c>
      <c r="H699" s="39" t="s">
        <v>672</v>
      </c>
      <c r="I699" s="39"/>
      <c r="J699" s="44">
        <v>330</v>
      </c>
      <c r="K699" s="44"/>
      <c r="L699" s="63">
        <v>330</v>
      </c>
      <c r="M699" s="64" t="s">
        <v>742</v>
      </c>
      <c r="N699" s="2"/>
    </row>
    <row r="700" spans="1:14" ht="14.4">
      <c r="A700" s="42">
        <v>45826</v>
      </c>
      <c r="B700" s="61" t="s">
        <v>1986</v>
      </c>
      <c r="C700" s="39" t="s">
        <v>1987</v>
      </c>
      <c r="D700" s="20" t="s">
        <v>1254</v>
      </c>
      <c r="E700" s="54" t="s">
        <v>447</v>
      </c>
      <c r="F700" s="54" t="s">
        <v>35</v>
      </c>
      <c r="G700" s="10" t="s">
        <v>23</v>
      </c>
      <c r="H700" s="19" t="s">
        <v>1988</v>
      </c>
      <c r="I700" s="39"/>
      <c r="J700" s="44">
        <v>200</v>
      </c>
      <c r="K700" s="44"/>
      <c r="L700" s="63">
        <v>400</v>
      </c>
      <c r="M700" s="64" t="s">
        <v>1678</v>
      </c>
      <c r="N700" s="2"/>
    </row>
    <row r="701" spans="1:14" ht="14.4">
      <c r="A701" s="42">
        <v>45826</v>
      </c>
      <c r="B701" s="61" t="s">
        <v>1989</v>
      </c>
      <c r="C701" s="39" t="s">
        <v>1990</v>
      </c>
      <c r="D701" s="20" t="s">
        <v>992</v>
      </c>
      <c r="E701" s="54" t="s">
        <v>519</v>
      </c>
      <c r="F701" s="54" t="s">
        <v>56</v>
      </c>
      <c r="G701" s="10" t="s">
        <v>56</v>
      </c>
      <c r="H701" s="39" t="s">
        <v>1991</v>
      </c>
      <c r="I701" s="39"/>
      <c r="J701" s="44">
        <v>195</v>
      </c>
      <c r="K701" s="44">
        <v>195</v>
      </c>
      <c r="L701" s="63">
        <v>390</v>
      </c>
      <c r="M701" s="64" t="s">
        <v>742</v>
      </c>
      <c r="N701" s="2"/>
    </row>
    <row r="702" spans="1:14" ht="14.4">
      <c r="A702" s="42">
        <v>45827</v>
      </c>
      <c r="B702" s="61" t="s">
        <v>1992</v>
      </c>
      <c r="C702" s="39" t="s">
        <v>1993</v>
      </c>
      <c r="D702" s="20" t="s">
        <v>1254</v>
      </c>
      <c r="E702" s="54" t="s">
        <v>519</v>
      </c>
      <c r="F702" s="54" t="s">
        <v>35</v>
      </c>
      <c r="G702" s="10" t="s">
        <v>23</v>
      </c>
      <c r="H702" s="39" t="s">
        <v>1277</v>
      </c>
      <c r="I702" s="39" t="s">
        <v>1220</v>
      </c>
      <c r="J702" s="44">
        <v>50</v>
      </c>
      <c r="K702" s="44">
        <v>300</v>
      </c>
      <c r="L702" s="63">
        <v>350</v>
      </c>
      <c r="M702" s="64" t="s">
        <v>742</v>
      </c>
      <c r="N702" s="2"/>
    </row>
    <row r="703" spans="1:14" ht="14.4">
      <c r="A703" s="42">
        <v>45827</v>
      </c>
      <c r="B703" s="61" t="s">
        <v>1994</v>
      </c>
      <c r="C703" s="39" t="s">
        <v>1995</v>
      </c>
      <c r="D703" s="20" t="s">
        <v>1035</v>
      </c>
      <c r="E703" s="54" t="s">
        <v>447</v>
      </c>
      <c r="F703" s="54" t="s">
        <v>487</v>
      </c>
      <c r="G703" s="10" t="s">
        <v>40</v>
      </c>
      <c r="H703" s="39" t="s">
        <v>1996</v>
      </c>
      <c r="I703" s="39"/>
      <c r="J703" s="44">
        <v>420</v>
      </c>
      <c r="K703" s="44"/>
      <c r="L703" s="63">
        <v>420</v>
      </c>
      <c r="M703" s="64" t="s">
        <v>1678</v>
      </c>
      <c r="N703" s="2"/>
    </row>
    <row r="704" spans="1:14" ht="14.4">
      <c r="A704" s="42">
        <v>45827</v>
      </c>
      <c r="B704" s="61" t="s">
        <v>1997</v>
      </c>
      <c r="C704" s="39" t="s">
        <v>1998</v>
      </c>
      <c r="D704" s="20" t="s">
        <v>1033</v>
      </c>
      <c r="E704" s="54" t="s">
        <v>447</v>
      </c>
      <c r="F704" s="54" t="s">
        <v>487</v>
      </c>
      <c r="G704" s="10" t="s">
        <v>40</v>
      </c>
      <c r="H704" s="39" t="s">
        <v>1406</v>
      </c>
      <c r="I704" s="39"/>
      <c r="J704" s="44">
        <v>2410</v>
      </c>
      <c r="K704" s="44"/>
      <c r="L704" s="63">
        <v>2410</v>
      </c>
      <c r="M704" s="64" t="s">
        <v>742</v>
      </c>
      <c r="N704" s="2"/>
    </row>
    <row r="705" spans="1:14" ht="14.4">
      <c r="A705" s="42">
        <v>45828</v>
      </c>
      <c r="B705" s="61" t="s">
        <v>1999</v>
      </c>
      <c r="C705" s="39" t="s">
        <v>2000</v>
      </c>
      <c r="D705" s="20" t="s">
        <v>280</v>
      </c>
      <c r="E705" s="54" t="s">
        <v>447</v>
      </c>
      <c r="F705" s="54" t="s">
        <v>33</v>
      </c>
      <c r="G705" s="10" t="s">
        <v>23</v>
      </c>
      <c r="H705" s="39" t="s">
        <v>919</v>
      </c>
      <c r="I705" s="39" t="s">
        <v>1060</v>
      </c>
      <c r="J705" s="44">
        <v>70</v>
      </c>
      <c r="K705" s="44"/>
      <c r="L705" s="63">
        <v>70</v>
      </c>
      <c r="M705" s="64" t="s">
        <v>1678</v>
      </c>
      <c r="N705" s="2"/>
    </row>
    <row r="706" spans="1:14" ht="14.4">
      <c r="A706" s="42">
        <v>45828</v>
      </c>
      <c r="B706" s="61" t="s">
        <v>2001</v>
      </c>
      <c r="C706" s="39" t="s">
        <v>2002</v>
      </c>
      <c r="D706" s="20" t="s">
        <v>1035</v>
      </c>
      <c r="E706" s="54" t="s">
        <v>519</v>
      </c>
      <c r="F706" s="54" t="s">
        <v>463</v>
      </c>
      <c r="G706" s="10" t="s">
        <v>40</v>
      </c>
      <c r="H706" s="39" t="s">
        <v>2003</v>
      </c>
      <c r="I706" s="39"/>
      <c r="J706" s="44">
        <v>90</v>
      </c>
      <c r="K706" s="44"/>
      <c r="L706" s="63">
        <v>90</v>
      </c>
      <c r="M706" s="64" t="s">
        <v>742</v>
      </c>
      <c r="N706" s="2"/>
    </row>
    <row r="707" spans="1:14" ht="14.4">
      <c r="A707" s="42">
        <v>45829</v>
      </c>
      <c r="B707" s="61" t="s">
        <v>1377</v>
      </c>
      <c r="C707" s="39" t="s">
        <v>2004</v>
      </c>
      <c r="D707" s="20" t="s">
        <v>992</v>
      </c>
      <c r="E707" s="54" t="s">
        <v>447</v>
      </c>
      <c r="F707" s="54" t="s">
        <v>56</v>
      </c>
      <c r="G707" s="10" t="s">
        <v>56</v>
      </c>
      <c r="H707" s="39" t="s">
        <v>2005</v>
      </c>
      <c r="I707" s="39"/>
      <c r="J707" s="44">
        <v>50</v>
      </c>
      <c r="K707" s="44"/>
      <c r="L707" s="63">
        <v>50</v>
      </c>
      <c r="M707" s="64" t="s">
        <v>742</v>
      </c>
      <c r="N707" s="2"/>
    </row>
    <row r="708" spans="1:14" ht="14.4">
      <c r="A708" s="42">
        <v>45829</v>
      </c>
      <c r="B708" s="61" t="s">
        <v>2006</v>
      </c>
      <c r="C708" s="39" t="s">
        <v>2007</v>
      </c>
      <c r="D708" s="20" t="s">
        <v>1033</v>
      </c>
      <c r="E708" s="54" t="s">
        <v>447</v>
      </c>
      <c r="F708" s="54" t="s">
        <v>463</v>
      </c>
      <c r="G708" s="10" t="s">
        <v>40</v>
      </c>
      <c r="H708" s="39" t="s">
        <v>463</v>
      </c>
      <c r="I708" s="39"/>
      <c r="J708" s="44">
        <v>190</v>
      </c>
      <c r="K708" s="44"/>
      <c r="L708" s="63">
        <v>190</v>
      </c>
      <c r="M708" s="64" t="s">
        <v>1678</v>
      </c>
      <c r="N708" s="2"/>
    </row>
    <row r="709" spans="1:14" ht="14.4">
      <c r="A709" s="42">
        <v>45829</v>
      </c>
      <c r="B709" s="61" t="s">
        <v>2008</v>
      </c>
      <c r="C709" s="39" t="s">
        <v>2009</v>
      </c>
      <c r="D709" s="20" t="s">
        <v>502</v>
      </c>
      <c r="E709" s="54" t="s">
        <v>447</v>
      </c>
      <c r="F709" s="54" t="s">
        <v>33</v>
      </c>
      <c r="G709" s="10" t="s">
        <v>23</v>
      </c>
      <c r="H709" s="39" t="s">
        <v>2010</v>
      </c>
      <c r="I709" s="39"/>
      <c r="J709" s="44">
        <v>120</v>
      </c>
      <c r="K709" s="44"/>
      <c r="L709" s="63">
        <v>120</v>
      </c>
      <c r="M709" s="64" t="s">
        <v>1381</v>
      </c>
      <c r="N709" s="2"/>
    </row>
    <row r="710" spans="1:14" ht="14.4">
      <c r="A710" s="42">
        <v>45829</v>
      </c>
      <c r="B710" s="61" t="s">
        <v>1973</v>
      </c>
      <c r="C710" s="39" t="s">
        <v>1974</v>
      </c>
      <c r="D710" s="20" t="s">
        <v>1254</v>
      </c>
      <c r="E710" s="54" t="s">
        <v>447</v>
      </c>
      <c r="F710" s="54" t="s">
        <v>252</v>
      </c>
      <c r="G710" s="10" t="s">
        <v>23</v>
      </c>
      <c r="H710" s="39" t="s">
        <v>1975</v>
      </c>
      <c r="I710" s="39" t="s">
        <v>1607</v>
      </c>
      <c r="J710" s="44">
        <v>325</v>
      </c>
      <c r="K710" s="44"/>
      <c r="L710" s="63">
        <v>650</v>
      </c>
      <c r="M710" s="64" t="s">
        <v>1381</v>
      </c>
      <c r="N710" s="2"/>
    </row>
    <row r="711" spans="1:14" ht="14.4">
      <c r="A711" s="42">
        <v>45829</v>
      </c>
      <c r="B711" s="61" t="s">
        <v>2011</v>
      </c>
      <c r="C711" s="39" t="s">
        <v>2012</v>
      </c>
      <c r="D711" s="20" t="s">
        <v>1035</v>
      </c>
      <c r="E711" s="54" t="s">
        <v>447</v>
      </c>
      <c r="F711" s="54" t="s">
        <v>40</v>
      </c>
      <c r="G711" s="10" t="s">
        <v>40</v>
      </c>
      <c r="H711" s="39" t="s">
        <v>1828</v>
      </c>
      <c r="I711" s="39"/>
      <c r="J711" s="44">
        <v>110</v>
      </c>
      <c r="K711" s="44"/>
      <c r="L711" s="63">
        <v>110</v>
      </c>
      <c r="M711" s="64" t="s">
        <v>1381</v>
      </c>
      <c r="N711" s="2"/>
    </row>
    <row r="712" spans="1:14" ht="14.4">
      <c r="A712" s="42">
        <v>45831</v>
      </c>
      <c r="B712" s="61" t="s">
        <v>2013</v>
      </c>
      <c r="C712" s="39" t="s">
        <v>2014</v>
      </c>
      <c r="D712" s="20" t="s">
        <v>446</v>
      </c>
      <c r="E712" s="54" t="s">
        <v>447</v>
      </c>
      <c r="F712" s="54" t="s">
        <v>33</v>
      </c>
      <c r="G712" s="10" t="s">
        <v>23</v>
      </c>
      <c r="H712" s="39" t="s">
        <v>919</v>
      </c>
      <c r="I712" s="39" t="s">
        <v>1105</v>
      </c>
      <c r="J712" s="44">
        <v>60</v>
      </c>
      <c r="K712" s="44"/>
      <c r="L712" s="63">
        <v>60</v>
      </c>
      <c r="M712" s="64" t="s">
        <v>1678</v>
      </c>
      <c r="N712" s="2"/>
    </row>
    <row r="713" spans="1:14" ht="14.4">
      <c r="A713" s="42">
        <v>45831</v>
      </c>
      <c r="B713" s="61" t="s">
        <v>2015</v>
      </c>
      <c r="C713" s="39" t="s">
        <v>1733</v>
      </c>
      <c r="D713" s="20" t="s">
        <v>1035</v>
      </c>
      <c r="E713" s="54" t="s">
        <v>447</v>
      </c>
      <c r="F713" s="54" t="s">
        <v>40</v>
      </c>
      <c r="G713" s="10" t="s">
        <v>40</v>
      </c>
      <c r="H713" s="39" t="s">
        <v>40</v>
      </c>
      <c r="I713" s="39"/>
      <c r="J713" s="44">
        <v>100</v>
      </c>
      <c r="K713" s="44"/>
      <c r="L713" s="63">
        <v>100</v>
      </c>
      <c r="M713" s="64" t="s">
        <v>1678</v>
      </c>
      <c r="N713" s="2"/>
    </row>
    <row r="714" spans="1:14" ht="14.4">
      <c r="A714" s="42">
        <v>45831</v>
      </c>
      <c r="B714" s="61" t="s">
        <v>2016</v>
      </c>
      <c r="C714" s="39" t="s">
        <v>2017</v>
      </c>
      <c r="D714" s="20" t="s">
        <v>1035</v>
      </c>
      <c r="E714" s="54" t="s">
        <v>447</v>
      </c>
      <c r="F714" s="54" t="s">
        <v>40</v>
      </c>
      <c r="G714" s="10" t="s">
        <v>40</v>
      </c>
      <c r="H714" s="39" t="s">
        <v>672</v>
      </c>
      <c r="I714" s="39"/>
      <c r="J714" s="44">
        <v>850</v>
      </c>
      <c r="K714" s="44"/>
      <c r="L714" s="63">
        <v>850</v>
      </c>
      <c r="M714" s="64" t="s">
        <v>742</v>
      </c>
      <c r="N714" s="2"/>
    </row>
    <row r="715" spans="1:14" ht="14.4">
      <c r="A715" s="42">
        <v>45832</v>
      </c>
      <c r="B715" s="61" t="s">
        <v>2018</v>
      </c>
      <c r="C715" s="39" t="s">
        <v>2019</v>
      </c>
      <c r="D715" s="20" t="s">
        <v>446</v>
      </c>
      <c r="E715" s="54" t="s">
        <v>447</v>
      </c>
      <c r="F715" s="54" t="s">
        <v>253</v>
      </c>
      <c r="G715" s="10" t="s">
        <v>23</v>
      </c>
      <c r="H715" s="39" t="s">
        <v>1030</v>
      </c>
      <c r="I715" s="39" t="s">
        <v>1142</v>
      </c>
      <c r="J715" s="44">
        <v>269</v>
      </c>
      <c r="K715" s="44"/>
      <c r="L715" s="63">
        <v>269</v>
      </c>
      <c r="M715" s="64" t="s">
        <v>1678</v>
      </c>
      <c r="N715" s="2"/>
    </row>
    <row r="716" spans="1:14" ht="14.4">
      <c r="A716" s="42">
        <v>45832</v>
      </c>
      <c r="B716" s="61" t="s">
        <v>2020</v>
      </c>
      <c r="C716" s="39" t="s">
        <v>2021</v>
      </c>
      <c r="D716" s="20" t="s">
        <v>1035</v>
      </c>
      <c r="E716" s="54" t="s">
        <v>447</v>
      </c>
      <c r="F716" s="54" t="s">
        <v>40</v>
      </c>
      <c r="G716" s="10" t="s">
        <v>40</v>
      </c>
      <c r="H716" s="39" t="s">
        <v>2022</v>
      </c>
      <c r="I716" s="39"/>
      <c r="J716" s="44">
        <v>340</v>
      </c>
      <c r="K716" s="44"/>
      <c r="L716" s="63">
        <v>680</v>
      </c>
      <c r="M716" s="64" t="s">
        <v>1678</v>
      </c>
      <c r="N716" s="2"/>
    </row>
    <row r="717" spans="1:14" ht="14.4">
      <c r="A717" s="42">
        <v>45832</v>
      </c>
      <c r="B717" s="61" t="s">
        <v>2023</v>
      </c>
      <c r="C717" s="39" t="s">
        <v>1702</v>
      </c>
      <c r="D717" s="20" t="s">
        <v>1035</v>
      </c>
      <c r="E717" s="54" t="s">
        <v>447</v>
      </c>
      <c r="F717" s="54" t="s">
        <v>1703</v>
      </c>
      <c r="G717" s="10" t="s">
        <v>40</v>
      </c>
      <c r="H717" s="39" t="s">
        <v>2024</v>
      </c>
      <c r="I717" s="39"/>
      <c r="J717" s="44">
        <v>75</v>
      </c>
      <c r="K717" s="44"/>
      <c r="L717" s="63">
        <v>150</v>
      </c>
      <c r="M717" s="64" t="s">
        <v>1678</v>
      </c>
      <c r="N717" s="2"/>
    </row>
    <row r="718" spans="1:14" ht="14.4">
      <c r="A718" s="42">
        <v>45832</v>
      </c>
      <c r="B718" s="61" t="s">
        <v>2025</v>
      </c>
      <c r="C718" s="39" t="s">
        <v>2026</v>
      </c>
      <c r="D718" s="20" t="s">
        <v>502</v>
      </c>
      <c r="E718" s="54" t="s">
        <v>447</v>
      </c>
      <c r="F718" s="54" t="s">
        <v>252</v>
      </c>
      <c r="G718" s="10" t="s">
        <v>23</v>
      </c>
      <c r="H718" s="39" t="s">
        <v>2027</v>
      </c>
      <c r="I718" s="39" t="s">
        <v>1091</v>
      </c>
      <c r="J718" s="44">
        <v>80</v>
      </c>
      <c r="K718" s="44"/>
      <c r="L718" s="63">
        <v>80</v>
      </c>
      <c r="M718" s="64" t="s">
        <v>742</v>
      </c>
      <c r="N718" s="2"/>
    </row>
    <row r="719" spans="1:14" ht="14.4">
      <c r="A719" s="42">
        <v>45832</v>
      </c>
      <c r="B719" s="61" t="s">
        <v>480</v>
      </c>
      <c r="C719" s="39" t="s">
        <v>2028</v>
      </c>
      <c r="D719" s="20" t="s">
        <v>864</v>
      </c>
      <c r="E719" s="54" t="s">
        <v>447</v>
      </c>
      <c r="F719" s="54" t="s">
        <v>25</v>
      </c>
      <c r="G719" s="10" t="s">
        <v>25</v>
      </c>
      <c r="H719" s="39" t="s">
        <v>2029</v>
      </c>
      <c r="I719" s="39"/>
      <c r="J719" s="44">
        <v>100</v>
      </c>
      <c r="K719" s="44"/>
      <c r="L719" s="63">
        <v>100</v>
      </c>
      <c r="M719" s="64" t="s">
        <v>1678</v>
      </c>
      <c r="N719" s="2"/>
    </row>
    <row r="720" spans="1:14" ht="14.4">
      <c r="A720" s="42">
        <v>45832</v>
      </c>
      <c r="B720" s="61" t="s">
        <v>2030</v>
      </c>
      <c r="C720" s="39" t="s">
        <v>2031</v>
      </c>
      <c r="D720" s="20" t="s">
        <v>1035</v>
      </c>
      <c r="E720" s="54" t="s">
        <v>447</v>
      </c>
      <c r="F720" s="54" t="s">
        <v>40</v>
      </c>
      <c r="G720" s="10" t="s">
        <v>40</v>
      </c>
      <c r="H720" s="39" t="s">
        <v>2032</v>
      </c>
      <c r="I720" s="39"/>
      <c r="J720" s="44">
        <v>430</v>
      </c>
      <c r="K720" s="44"/>
      <c r="L720" s="63">
        <v>430</v>
      </c>
      <c r="M720" s="64" t="s">
        <v>1381</v>
      </c>
      <c r="N720" s="2"/>
    </row>
    <row r="721" spans="1:14" ht="14.4">
      <c r="A721" s="42">
        <v>45832</v>
      </c>
      <c r="B721" s="61" t="s">
        <v>2033</v>
      </c>
      <c r="C721" s="39" t="s">
        <v>2034</v>
      </c>
      <c r="D721" s="20" t="s">
        <v>1033</v>
      </c>
      <c r="E721" s="54" t="s">
        <v>447</v>
      </c>
      <c r="F721" s="54" t="s">
        <v>40</v>
      </c>
      <c r="G721" s="10" t="s">
        <v>40</v>
      </c>
      <c r="H721" s="39" t="s">
        <v>2035</v>
      </c>
      <c r="I721" s="39"/>
      <c r="J721" s="44">
        <v>2010</v>
      </c>
      <c r="K721" s="44"/>
      <c r="L721" s="63">
        <v>2010</v>
      </c>
      <c r="M721" s="64" t="s">
        <v>1678</v>
      </c>
      <c r="N721" s="2"/>
    </row>
    <row r="722" spans="1:14" ht="14.4">
      <c r="A722" s="42">
        <v>45832</v>
      </c>
      <c r="B722" s="61" t="s">
        <v>2036</v>
      </c>
      <c r="C722" s="39" t="s">
        <v>2037</v>
      </c>
      <c r="D722" s="20" t="s">
        <v>502</v>
      </c>
      <c r="E722" s="54" t="s">
        <v>447</v>
      </c>
      <c r="F722" s="54" t="s">
        <v>33</v>
      </c>
      <c r="G722" s="10" t="s">
        <v>23</v>
      </c>
      <c r="H722" s="39" t="s">
        <v>919</v>
      </c>
      <c r="I722" s="39"/>
      <c r="J722" s="44">
        <v>70</v>
      </c>
      <c r="K722" s="44"/>
      <c r="L722" s="63">
        <v>70</v>
      </c>
      <c r="M722" s="64" t="s">
        <v>1678</v>
      </c>
      <c r="N722" s="2"/>
    </row>
    <row r="723" spans="1:14" ht="14.4">
      <c r="A723" s="42">
        <v>45832</v>
      </c>
      <c r="B723" s="61" t="s">
        <v>480</v>
      </c>
      <c r="C723" s="39" t="s">
        <v>2038</v>
      </c>
      <c r="D723" s="20" t="s">
        <v>864</v>
      </c>
      <c r="E723" s="54" t="s">
        <v>447</v>
      </c>
      <c r="F723" s="54" t="s">
        <v>25</v>
      </c>
      <c r="G723" s="10" t="s">
        <v>25</v>
      </c>
      <c r="H723" s="39" t="s">
        <v>2039</v>
      </c>
      <c r="I723" s="39"/>
      <c r="J723" s="44">
        <v>225</v>
      </c>
      <c r="K723" s="44"/>
      <c r="L723" s="63">
        <v>225</v>
      </c>
      <c r="M723" s="64" t="s">
        <v>1678</v>
      </c>
      <c r="N723" s="2"/>
    </row>
    <row r="724" spans="1:14" ht="14.4">
      <c r="A724" s="42">
        <v>45832</v>
      </c>
      <c r="B724" s="61" t="s">
        <v>2040</v>
      </c>
      <c r="C724" s="39" t="s">
        <v>2041</v>
      </c>
      <c r="D724" s="20" t="s">
        <v>502</v>
      </c>
      <c r="E724" s="54" t="s">
        <v>447</v>
      </c>
      <c r="F724" s="54" t="s">
        <v>33</v>
      </c>
      <c r="G724" s="10" t="s">
        <v>23</v>
      </c>
      <c r="H724" s="39" t="s">
        <v>1594</v>
      </c>
      <c r="I724" s="39" t="s">
        <v>1164</v>
      </c>
      <c r="J724" s="44">
        <v>80</v>
      </c>
      <c r="K724" s="44"/>
      <c r="L724" s="63">
        <v>80</v>
      </c>
      <c r="M724" s="64" t="s">
        <v>1381</v>
      </c>
      <c r="N724" s="2"/>
    </row>
    <row r="725" spans="1:14" ht="14.4">
      <c r="A725" s="42">
        <v>45832</v>
      </c>
      <c r="B725" s="61" t="s">
        <v>2042</v>
      </c>
      <c r="C725" s="39" t="s">
        <v>2043</v>
      </c>
      <c r="D725" s="20" t="s">
        <v>502</v>
      </c>
      <c r="E725" s="54" t="s">
        <v>447</v>
      </c>
      <c r="F725" s="54" t="s">
        <v>33</v>
      </c>
      <c r="G725" s="10" t="s">
        <v>23</v>
      </c>
      <c r="H725" s="39" t="s">
        <v>722</v>
      </c>
      <c r="I725" s="39" t="s">
        <v>1111</v>
      </c>
      <c r="J725" s="44">
        <v>80</v>
      </c>
      <c r="K725" s="44"/>
      <c r="L725" s="63">
        <v>80</v>
      </c>
      <c r="M725" s="64" t="s">
        <v>742</v>
      </c>
      <c r="N725" s="2"/>
    </row>
    <row r="726" spans="1:14" ht="14.4">
      <c r="A726" s="42">
        <v>45833</v>
      </c>
      <c r="B726" s="61" t="s">
        <v>2044</v>
      </c>
      <c r="C726" s="39" t="s">
        <v>2045</v>
      </c>
      <c r="D726" s="20" t="s">
        <v>985</v>
      </c>
      <c r="E726" s="54" t="s">
        <v>447</v>
      </c>
      <c r="F726" s="54" t="s">
        <v>253</v>
      </c>
      <c r="G726" s="10" t="s">
        <v>23</v>
      </c>
      <c r="H726" s="39" t="s">
        <v>1519</v>
      </c>
      <c r="I726" s="39"/>
      <c r="J726" s="44">
        <v>169.5</v>
      </c>
      <c r="K726" s="44">
        <v>169.5</v>
      </c>
      <c r="L726" s="63">
        <f>J726+K726</f>
        <v>339</v>
      </c>
      <c r="M726" s="64" t="s">
        <v>1381</v>
      </c>
      <c r="N726" s="2"/>
    </row>
    <row r="727" spans="1:14" ht="14.4">
      <c r="A727" s="42">
        <v>45833</v>
      </c>
      <c r="B727" s="61" t="s">
        <v>2046</v>
      </c>
      <c r="C727" s="39" t="s">
        <v>1913</v>
      </c>
      <c r="D727" s="20" t="s">
        <v>864</v>
      </c>
      <c r="E727" s="54" t="s">
        <v>447</v>
      </c>
      <c r="F727" s="54" t="s">
        <v>25</v>
      </c>
      <c r="G727" s="10" t="s">
        <v>25</v>
      </c>
      <c r="H727" s="39" t="s">
        <v>1477</v>
      </c>
      <c r="I727" s="39"/>
      <c r="J727" s="44">
        <v>590</v>
      </c>
      <c r="K727" s="44"/>
      <c r="L727" s="63">
        <v>590</v>
      </c>
      <c r="M727" s="64" t="s">
        <v>480</v>
      </c>
      <c r="N727" s="2"/>
    </row>
    <row r="728" spans="1:14" ht="14.4">
      <c r="A728" s="42">
        <v>45833</v>
      </c>
      <c r="B728" s="61" t="s">
        <v>2047</v>
      </c>
      <c r="C728" s="39" t="s">
        <v>2048</v>
      </c>
      <c r="D728" s="20" t="s">
        <v>446</v>
      </c>
      <c r="E728" s="54" t="s">
        <v>447</v>
      </c>
      <c r="F728" s="54" t="s">
        <v>252</v>
      </c>
      <c r="G728" s="10" t="s">
        <v>23</v>
      </c>
      <c r="H728" s="39" t="s">
        <v>2049</v>
      </c>
      <c r="I728" s="39" t="s">
        <v>1091</v>
      </c>
      <c r="J728" s="44">
        <v>1280</v>
      </c>
      <c r="K728" s="44"/>
      <c r="L728" s="63">
        <v>1280</v>
      </c>
      <c r="M728" s="64" t="s">
        <v>742</v>
      </c>
      <c r="N728" s="2"/>
    </row>
    <row r="729" spans="1:14" ht="14.4">
      <c r="A729" s="42">
        <v>45833</v>
      </c>
      <c r="B729" s="61" t="s">
        <v>2050</v>
      </c>
      <c r="C729" s="39" t="s">
        <v>2051</v>
      </c>
      <c r="D729" s="20" t="s">
        <v>446</v>
      </c>
      <c r="E729" s="54" t="s">
        <v>519</v>
      </c>
      <c r="F729" s="54" t="s">
        <v>33</v>
      </c>
      <c r="G729" s="10" t="s">
        <v>23</v>
      </c>
      <c r="H729" s="39" t="s">
        <v>886</v>
      </c>
      <c r="I729" s="39" t="s">
        <v>1220</v>
      </c>
      <c r="J729" s="44">
        <v>40</v>
      </c>
      <c r="K729" s="44">
        <v>40</v>
      </c>
      <c r="L729" s="63">
        <v>80</v>
      </c>
      <c r="M729" s="64" t="s">
        <v>742</v>
      </c>
      <c r="N729" s="2"/>
    </row>
    <row r="730" spans="1:14" ht="14.4">
      <c r="A730" s="42">
        <v>45833</v>
      </c>
      <c r="B730" s="61" t="s">
        <v>2052</v>
      </c>
      <c r="C730" s="39" t="s">
        <v>2053</v>
      </c>
      <c r="D730" s="20" t="s">
        <v>502</v>
      </c>
      <c r="E730" s="54" t="s">
        <v>447</v>
      </c>
      <c r="F730" s="54" t="s">
        <v>33</v>
      </c>
      <c r="G730" s="10" t="s">
        <v>23</v>
      </c>
      <c r="H730" s="39" t="s">
        <v>1594</v>
      </c>
      <c r="I730" s="39" t="s">
        <v>1825</v>
      </c>
      <c r="J730" s="44">
        <v>80</v>
      </c>
      <c r="K730" s="44"/>
      <c r="L730" s="63">
        <v>80</v>
      </c>
      <c r="M730" s="64" t="s">
        <v>1381</v>
      </c>
      <c r="N730" s="2"/>
    </row>
    <row r="731" spans="1:14" ht="14.4">
      <c r="A731" s="42">
        <v>45833</v>
      </c>
      <c r="B731" s="61" t="s">
        <v>2054</v>
      </c>
      <c r="C731" s="39" t="s">
        <v>2055</v>
      </c>
      <c r="D731" s="20" t="s">
        <v>1254</v>
      </c>
      <c r="E731" s="54" t="s">
        <v>447</v>
      </c>
      <c r="F731" s="54" t="s">
        <v>252</v>
      </c>
      <c r="G731" s="10" t="s">
        <v>23</v>
      </c>
      <c r="H731" s="39" t="s">
        <v>1738</v>
      </c>
      <c r="I731" s="39" t="s">
        <v>1325</v>
      </c>
      <c r="J731" s="44">
        <v>50</v>
      </c>
      <c r="K731" s="44"/>
      <c r="L731" s="63">
        <v>50</v>
      </c>
      <c r="M731" s="64" t="s">
        <v>1381</v>
      </c>
      <c r="N731" s="2"/>
    </row>
    <row r="732" spans="1:14" ht="14.4">
      <c r="A732" s="42">
        <v>45833</v>
      </c>
      <c r="B732" s="61" t="s">
        <v>2056</v>
      </c>
      <c r="C732" s="39" t="s">
        <v>2057</v>
      </c>
      <c r="D732" s="20" t="s">
        <v>1033</v>
      </c>
      <c r="E732" s="54" t="s">
        <v>447</v>
      </c>
      <c r="F732" s="54" t="s">
        <v>463</v>
      </c>
      <c r="G732" s="10" t="s">
        <v>40</v>
      </c>
      <c r="H732" s="39" t="s">
        <v>1821</v>
      </c>
      <c r="I732" s="39"/>
      <c r="J732" s="44">
        <v>95</v>
      </c>
      <c r="K732" s="44"/>
      <c r="L732" s="63">
        <v>95</v>
      </c>
      <c r="M732" s="64" t="s">
        <v>742</v>
      </c>
      <c r="N732" s="2"/>
    </row>
    <row r="733" spans="1:14" ht="14.4">
      <c r="A733" s="42">
        <v>45834</v>
      </c>
      <c r="B733" s="61" t="s">
        <v>2058</v>
      </c>
      <c r="C733" s="39" t="s">
        <v>2059</v>
      </c>
      <c r="D733" s="20" t="s">
        <v>985</v>
      </c>
      <c r="E733" s="54" t="s">
        <v>447</v>
      </c>
      <c r="F733" s="54" t="s">
        <v>253</v>
      </c>
      <c r="G733" s="10" t="s">
        <v>23</v>
      </c>
      <c r="H733" s="39" t="s">
        <v>2060</v>
      </c>
      <c r="I733" s="39" t="s">
        <v>1105</v>
      </c>
      <c r="J733" s="44">
        <v>115</v>
      </c>
      <c r="K733" s="44"/>
      <c r="L733" s="63">
        <v>230</v>
      </c>
      <c r="M733" s="64" t="s">
        <v>1678</v>
      </c>
      <c r="N733" s="2"/>
    </row>
    <row r="734" spans="1:14" ht="14.4">
      <c r="A734" s="42">
        <v>45833</v>
      </c>
      <c r="B734" s="61" t="s">
        <v>2056</v>
      </c>
      <c r="C734" s="39" t="s">
        <v>2057</v>
      </c>
      <c r="D734" s="20" t="s">
        <v>1033</v>
      </c>
      <c r="E734" s="54" t="s">
        <v>447</v>
      </c>
      <c r="F734" s="54" t="s">
        <v>463</v>
      </c>
      <c r="G734" s="10" t="s">
        <v>40</v>
      </c>
      <c r="H734" s="39" t="s">
        <v>1821</v>
      </c>
      <c r="I734" s="39"/>
      <c r="J734" s="44">
        <v>95</v>
      </c>
      <c r="K734" s="44"/>
      <c r="L734" s="63">
        <v>95</v>
      </c>
      <c r="M734" s="64" t="s">
        <v>1381</v>
      </c>
      <c r="N734" s="2"/>
    </row>
    <row r="735" spans="1:14" ht="14.4">
      <c r="A735" s="42">
        <v>45834</v>
      </c>
      <c r="B735" s="61" t="s">
        <v>2061</v>
      </c>
      <c r="C735" s="39" t="s">
        <v>2061</v>
      </c>
      <c r="D735" s="20" t="s">
        <v>446</v>
      </c>
      <c r="E735" s="54" t="s">
        <v>447</v>
      </c>
      <c r="F735" s="54" t="s">
        <v>252</v>
      </c>
      <c r="G735" s="10" t="s">
        <v>23</v>
      </c>
      <c r="H735" s="39" t="s">
        <v>2062</v>
      </c>
      <c r="I735" s="39" t="s">
        <v>1111</v>
      </c>
      <c r="J735" s="44">
        <v>346.5</v>
      </c>
      <c r="K735" s="44">
        <f>L735-J735</f>
        <v>643.5</v>
      </c>
      <c r="L735" s="63">
        <v>990</v>
      </c>
      <c r="M735" s="64" t="s">
        <v>742</v>
      </c>
      <c r="N735" s="2"/>
    </row>
    <row r="736" spans="1:14" ht="14.4">
      <c r="A736" s="42">
        <v>45834</v>
      </c>
      <c r="B736" s="61" t="s">
        <v>2063</v>
      </c>
      <c r="C736" s="39" t="s">
        <v>1650</v>
      </c>
      <c r="D736" s="20" t="s">
        <v>1050</v>
      </c>
      <c r="E736" s="54" t="s">
        <v>447</v>
      </c>
      <c r="F736" s="54" t="s">
        <v>463</v>
      </c>
      <c r="G736" s="10" t="s">
        <v>40</v>
      </c>
      <c r="H736" s="39" t="s">
        <v>2064</v>
      </c>
      <c r="I736" s="39"/>
      <c r="J736" s="44">
        <v>120</v>
      </c>
      <c r="K736" s="44"/>
      <c r="L736" s="63">
        <v>100</v>
      </c>
      <c r="M736" s="64" t="s">
        <v>1381</v>
      </c>
      <c r="N736" s="2"/>
    </row>
    <row r="737" spans="1:14" ht="14.4">
      <c r="A737" s="42">
        <v>45834</v>
      </c>
      <c r="B737" s="61" t="s">
        <v>2065</v>
      </c>
      <c r="C737" s="39" t="s">
        <v>2066</v>
      </c>
      <c r="D737" s="20" t="s">
        <v>1033</v>
      </c>
      <c r="E737" s="54" t="s">
        <v>447</v>
      </c>
      <c r="F737" s="54" t="s">
        <v>487</v>
      </c>
      <c r="G737" s="10" t="s">
        <v>40</v>
      </c>
      <c r="H737" s="39" t="s">
        <v>531</v>
      </c>
      <c r="I737" s="39"/>
      <c r="J737" s="44">
        <f>190*2</f>
        <v>380</v>
      </c>
      <c r="K737" s="44"/>
      <c r="L737" s="63">
        <v>380</v>
      </c>
      <c r="M737" s="64" t="s">
        <v>1381</v>
      </c>
      <c r="N737" s="2"/>
    </row>
    <row r="738" spans="1:14" ht="14.4">
      <c r="A738" s="42">
        <v>45835</v>
      </c>
      <c r="B738" s="61" t="s">
        <v>2067</v>
      </c>
      <c r="C738" s="39" t="s">
        <v>2068</v>
      </c>
      <c r="D738" s="20" t="s">
        <v>1254</v>
      </c>
      <c r="E738" s="54" t="s">
        <v>447</v>
      </c>
      <c r="F738" s="54" t="s">
        <v>252</v>
      </c>
      <c r="G738" s="10" t="s">
        <v>23</v>
      </c>
      <c r="H738" s="39" t="s">
        <v>831</v>
      </c>
      <c r="I738" s="39" t="s">
        <v>1085</v>
      </c>
      <c r="J738" s="44">
        <v>50</v>
      </c>
      <c r="K738" s="44"/>
      <c r="L738" s="63">
        <v>50</v>
      </c>
      <c r="M738" s="64" t="s">
        <v>742</v>
      </c>
      <c r="N738" s="2"/>
    </row>
    <row r="739" spans="1:14" ht="14.4">
      <c r="A739" s="42">
        <v>45835</v>
      </c>
      <c r="B739" s="61" t="s">
        <v>2069</v>
      </c>
      <c r="C739" s="39" t="s">
        <v>2070</v>
      </c>
      <c r="D739" s="20" t="s">
        <v>1035</v>
      </c>
      <c r="E739" s="54" t="s">
        <v>447</v>
      </c>
      <c r="F739" s="54" t="s">
        <v>463</v>
      </c>
      <c r="G739" s="10" t="s">
        <v>40</v>
      </c>
      <c r="H739" s="39" t="s">
        <v>1677</v>
      </c>
      <c r="I739" s="39"/>
      <c r="J739" s="44">
        <v>160</v>
      </c>
      <c r="K739" s="44"/>
      <c r="L739" s="63">
        <v>160</v>
      </c>
      <c r="M739" s="64" t="s">
        <v>1678</v>
      </c>
      <c r="N739" s="2"/>
    </row>
    <row r="740" spans="1:14" ht="14.4">
      <c r="A740" s="42">
        <v>45836</v>
      </c>
      <c r="B740" s="131" t="s">
        <v>2071</v>
      </c>
      <c r="C740" s="39" t="s">
        <v>2072</v>
      </c>
      <c r="D740" s="20" t="s">
        <v>1254</v>
      </c>
      <c r="E740" s="54" t="s">
        <v>447</v>
      </c>
      <c r="F740" s="54" t="s">
        <v>252</v>
      </c>
      <c r="G740" s="23" t="s">
        <v>23</v>
      </c>
      <c r="H740" s="39" t="s">
        <v>758</v>
      </c>
      <c r="I740" s="39" t="s">
        <v>1105</v>
      </c>
      <c r="J740" s="44">
        <v>150</v>
      </c>
      <c r="K740" s="44">
        <v>390</v>
      </c>
      <c r="L740" s="63">
        <v>540</v>
      </c>
      <c r="M740" s="64" t="s">
        <v>742</v>
      </c>
      <c r="N740" s="2"/>
    </row>
    <row r="741" spans="1:14" ht="14.4">
      <c r="A741" s="42">
        <v>45836</v>
      </c>
      <c r="B741" s="61" t="s">
        <v>2073</v>
      </c>
      <c r="C741" s="39" t="s">
        <v>2074</v>
      </c>
      <c r="D741" s="20" t="s">
        <v>1035</v>
      </c>
      <c r="E741" s="54" t="s">
        <v>519</v>
      </c>
      <c r="F741" s="54" t="s">
        <v>463</v>
      </c>
      <c r="G741" s="10" t="s">
        <v>40</v>
      </c>
      <c r="H741" s="39" t="s">
        <v>1677</v>
      </c>
      <c r="I741" s="39"/>
      <c r="J741" s="44">
        <v>140</v>
      </c>
      <c r="K741" s="44"/>
      <c r="L741" s="63">
        <v>140</v>
      </c>
      <c r="M741" s="64" t="s">
        <v>742</v>
      </c>
      <c r="N741" s="2"/>
    </row>
    <row r="742" spans="1:14" ht="14.4">
      <c r="A742" s="42">
        <v>45838</v>
      </c>
      <c r="B742" s="61" t="s">
        <v>2075</v>
      </c>
      <c r="C742" s="39" t="s">
        <v>2076</v>
      </c>
      <c r="D742" s="20" t="s">
        <v>1033</v>
      </c>
      <c r="E742" s="54" t="s">
        <v>447</v>
      </c>
      <c r="F742" s="54" t="s">
        <v>487</v>
      </c>
      <c r="G742" s="10" t="s">
        <v>40</v>
      </c>
      <c r="H742" s="170" t="s">
        <v>1406</v>
      </c>
      <c r="I742" s="39"/>
      <c r="J742" s="44">
        <v>1105</v>
      </c>
      <c r="K742" s="44"/>
      <c r="L742" s="63">
        <v>1105</v>
      </c>
      <c r="M742" s="64" t="s">
        <v>742</v>
      </c>
      <c r="N742" s="2"/>
    </row>
    <row r="743" spans="1:14" ht="14.4">
      <c r="A743" s="42">
        <v>45838</v>
      </c>
      <c r="B743" s="61" t="s">
        <v>2075</v>
      </c>
      <c r="C743" s="39" t="s">
        <v>2077</v>
      </c>
      <c r="D743" s="20" t="s">
        <v>1033</v>
      </c>
      <c r="E743" s="54" t="s">
        <v>447</v>
      </c>
      <c r="F743" s="54" t="s">
        <v>487</v>
      </c>
      <c r="G743" s="10" t="s">
        <v>40</v>
      </c>
      <c r="H743" s="39" t="s">
        <v>1406</v>
      </c>
      <c r="I743" s="39"/>
      <c r="J743" s="44">
        <v>1105</v>
      </c>
      <c r="K743" s="44"/>
      <c r="L743" s="63">
        <v>1105</v>
      </c>
      <c r="M743" s="64" t="s">
        <v>1381</v>
      </c>
      <c r="N743" s="2"/>
    </row>
    <row r="744" spans="1:14" ht="14.4">
      <c r="A744" s="42">
        <v>45838</v>
      </c>
      <c r="B744" s="61" t="s">
        <v>2073</v>
      </c>
      <c r="C744" s="39" t="s">
        <v>2078</v>
      </c>
      <c r="D744" s="20" t="s">
        <v>1035</v>
      </c>
      <c r="E744" s="54" t="s">
        <v>519</v>
      </c>
      <c r="F744" s="54" t="s">
        <v>487</v>
      </c>
      <c r="G744" s="10" t="s">
        <v>40</v>
      </c>
      <c r="H744" s="170" t="s">
        <v>1410</v>
      </c>
      <c r="I744" s="39"/>
      <c r="J744" s="44">
        <v>300</v>
      </c>
      <c r="K744" s="44">
        <v>260</v>
      </c>
      <c r="L744" s="63">
        <v>560</v>
      </c>
      <c r="M744" s="64" t="s">
        <v>742</v>
      </c>
      <c r="N744" s="2"/>
    </row>
    <row r="745" spans="1:14" ht="14.4">
      <c r="A745" s="42">
        <v>45838</v>
      </c>
      <c r="B745" s="61" t="s">
        <v>2054</v>
      </c>
      <c r="C745" s="39" t="s">
        <v>2055</v>
      </c>
      <c r="D745" s="20" t="s">
        <v>1254</v>
      </c>
      <c r="E745" s="54" t="s">
        <v>447</v>
      </c>
      <c r="F745" s="54" t="s">
        <v>252</v>
      </c>
      <c r="G745" s="10" t="s">
        <v>23</v>
      </c>
      <c r="H745" s="39" t="s">
        <v>1738</v>
      </c>
      <c r="I745" s="39"/>
      <c r="J745" s="44">
        <v>300</v>
      </c>
      <c r="K745" s="44"/>
      <c r="L745" s="63">
        <v>600</v>
      </c>
      <c r="M745" s="64" t="s">
        <v>1381</v>
      </c>
      <c r="N745" s="2"/>
    </row>
    <row r="746" spans="1:14" ht="14.4">
      <c r="A746" s="42">
        <v>45838</v>
      </c>
      <c r="B746" s="61" t="s">
        <v>2079</v>
      </c>
      <c r="C746" s="39" t="s">
        <v>1314</v>
      </c>
      <c r="D746" s="20" t="s">
        <v>1035</v>
      </c>
      <c r="E746" s="54" t="s">
        <v>447</v>
      </c>
      <c r="F746" s="54" t="s">
        <v>487</v>
      </c>
      <c r="G746" s="10" t="s">
        <v>40</v>
      </c>
      <c r="H746" s="170" t="s">
        <v>1406</v>
      </c>
      <c r="I746" s="39"/>
      <c r="J746" s="44">
        <v>830</v>
      </c>
      <c r="K746" s="44"/>
      <c r="L746" s="63">
        <v>830</v>
      </c>
      <c r="M746" s="64" t="s">
        <v>742</v>
      </c>
      <c r="N746" s="2"/>
    </row>
    <row r="747" spans="1:14" ht="14.4">
      <c r="A747" s="42">
        <v>45838</v>
      </c>
      <c r="B747" s="61" t="s">
        <v>2080</v>
      </c>
      <c r="C747" s="39" t="s">
        <v>2081</v>
      </c>
      <c r="D747" s="20" t="s">
        <v>864</v>
      </c>
      <c r="E747" s="54" t="s">
        <v>519</v>
      </c>
      <c r="F747" s="54" t="s">
        <v>25</v>
      </c>
      <c r="G747" s="10" t="s">
        <v>25</v>
      </c>
      <c r="H747" s="39" t="s">
        <v>324</v>
      </c>
      <c r="I747" s="39"/>
      <c r="J747" s="44">
        <v>490</v>
      </c>
      <c r="K747" s="44"/>
      <c r="L747" s="63">
        <v>490</v>
      </c>
      <c r="M747" s="64" t="s">
        <v>1381</v>
      </c>
      <c r="N747" s="2"/>
    </row>
    <row r="748" spans="1:14" ht="14.4">
      <c r="A748" s="42">
        <v>45839</v>
      </c>
      <c r="B748" s="61" t="s">
        <v>2082</v>
      </c>
      <c r="C748" s="39" t="s">
        <v>2083</v>
      </c>
      <c r="D748" s="20" t="s">
        <v>280</v>
      </c>
      <c r="E748" s="54" t="s">
        <v>447</v>
      </c>
      <c r="F748" s="54" t="s">
        <v>252</v>
      </c>
      <c r="G748" s="23" t="s">
        <v>23</v>
      </c>
      <c r="H748" s="39" t="s">
        <v>628</v>
      </c>
      <c r="I748" s="39" t="s">
        <v>1105</v>
      </c>
      <c r="J748" s="44">
        <v>200</v>
      </c>
      <c r="K748" s="44"/>
      <c r="L748" s="63">
        <v>399</v>
      </c>
      <c r="M748" s="64" t="s">
        <v>1678</v>
      </c>
      <c r="N748" s="2"/>
    </row>
    <row r="749" spans="1:14" ht="14.4">
      <c r="A749" s="42">
        <v>45839</v>
      </c>
      <c r="B749" s="61" t="s">
        <v>2084</v>
      </c>
      <c r="C749" s="39" t="s">
        <v>2085</v>
      </c>
      <c r="D749" s="20" t="s">
        <v>502</v>
      </c>
      <c r="E749" s="54" t="s">
        <v>447</v>
      </c>
      <c r="F749" s="54" t="s">
        <v>33</v>
      </c>
      <c r="G749" s="23" t="s">
        <v>23</v>
      </c>
      <c r="H749" s="39" t="s">
        <v>886</v>
      </c>
      <c r="I749" s="39" t="s">
        <v>1164</v>
      </c>
      <c r="J749" s="44">
        <v>80</v>
      </c>
      <c r="K749" s="44"/>
      <c r="L749" s="63">
        <v>80</v>
      </c>
      <c r="M749" s="64" t="s">
        <v>742</v>
      </c>
      <c r="N749" s="2"/>
    </row>
    <row r="750" spans="1:14" ht="14.4">
      <c r="A750" s="42">
        <v>45839</v>
      </c>
      <c r="B750" s="61" t="s">
        <v>1568</v>
      </c>
      <c r="C750" s="39" t="s">
        <v>1569</v>
      </c>
      <c r="D750" s="20" t="s">
        <v>1033</v>
      </c>
      <c r="E750" s="54" t="s">
        <v>447</v>
      </c>
      <c r="F750" s="54" t="s">
        <v>487</v>
      </c>
      <c r="G750" s="10" t="s">
        <v>40</v>
      </c>
      <c r="H750" s="39" t="s">
        <v>1406</v>
      </c>
      <c r="I750" s="39"/>
      <c r="J750" s="44">
        <v>550</v>
      </c>
      <c r="K750" s="44"/>
      <c r="L750" s="63">
        <v>550</v>
      </c>
      <c r="M750" s="64" t="s">
        <v>742</v>
      </c>
      <c r="N750" s="2"/>
    </row>
    <row r="751" spans="1:14" ht="14.4">
      <c r="A751" s="42">
        <v>45839</v>
      </c>
      <c r="B751" s="61" t="s">
        <v>2086</v>
      </c>
      <c r="C751" s="39" t="s">
        <v>2087</v>
      </c>
      <c r="D751" s="20" t="s">
        <v>985</v>
      </c>
      <c r="E751" s="54" t="s">
        <v>447</v>
      </c>
      <c r="F751" s="54" t="s">
        <v>253</v>
      </c>
      <c r="G751" s="10" t="s">
        <v>23</v>
      </c>
      <c r="H751" s="39" t="s">
        <v>1019</v>
      </c>
      <c r="I751" s="39" t="s">
        <v>1055</v>
      </c>
      <c r="J751" s="44">
        <v>174.5</v>
      </c>
      <c r="K751" s="44">
        <v>174.5</v>
      </c>
      <c r="L751" s="63">
        <f>SUM(J751:K751)</f>
        <v>349</v>
      </c>
      <c r="M751" s="64" t="s">
        <v>742</v>
      </c>
      <c r="N751" s="2"/>
    </row>
    <row r="752" spans="1:14" ht="14.4">
      <c r="A752" s="42">
        <v>45839</v>
      </c>
      <c r="B752" s="172" t="s">
        <v>1500</v>
      </c>
      <c r="C752" s="64" t="s">
        <v>1614</v>
      </c>
      <c r="D752" s="20" t="s">
        <v>1035</v>
      </c>
      <c r="E752" s="54" t="s">
        <v>447</v>
      </c>
      <c r="F752" s="54" t="s">
        <v>463</v>
      </c>
      <c r="G752" s="10" t="s">
        <v>40</v>
      </c>
      <c r="H752" s="54" t="s">
        <v>1828</v>
      </c>
      <c r="I752" s="39"/>
      <c r="J752" s="39" t="s">
        <v>2088</v>
      </c>
      <c r="K752" s="44"/>
      <c r="L752" s="44">
        <v>100</v>
      </c>
      <c r="M752" s="64" t="s">
        <v>1381</v>
      </c>
      <c r="N752" s="2"/>
    </row>
    <row r="753" spans="1:14" ht="14.4">
      <c r="A753" s="42">
        <v>45839</v>
      </c>
      <c r="B753" s="61" t="s">
        <v>2089</v>
      </c>
      <c r="C753" s="39" t="s">
        <v>2090</v>
      </c>
      <c r="D753" s="20" t="s">
        <v>280</v>
      </c>
      <c r="E753" s="54" t="s">
        <v>447</v>
      </c>
      <c r="F753" s="54" t="s">
        <v>252</v>
      </c>
      <c r="G753" s="10" t="s">
        <v>23</v>
      </c>
      <c r="H753" s="39" t="s">
        <v>2091</v>
      </c>
      <c r="I753" s="39" t="s">
        <v>1142</v>
      </c>
      <c r="J753" s="44">
        <v>95</v>
      </c>
      <c r="K753" s="44"/>
      <c r="L753" s="63">
        <v>190</v>
      </c>
      <c r="M753" s="64" t="s">
        <v>1678</v>
      </c>
      <c r="N753" s="2"/>
    </row>
    <row r="754" spans="1:14" ht="14.4">
      <c r="A754" s="42">
        <v>45839</v>
      </c>
      <c r="B754" s="61" t="s">
        <v>2046</v>
      </c>
      <c r="C754" s="39" t="s">
        <v>1913</v>
      </c>
      <c r="D754" s="20" t="s">
        <v>864</v>
      </c>
      <c r="E754" s="54" t="s">
        <v>447</v>
      </c>
      <c r="F754" s="54" t="s">
        <v>25</v>
      </c>
      <c r="G754" s="10" t="s">
        <v>25</v>
      </c>
      <c r="H754" s="39" t="s">
        <v>2092</v>
      </c>
      <c r="I754" s="39"/>
      <c r="J754" s="44">
        <v>1180</v>
      </c>
      <c r="K754" s="44"/>
      <c r="L754" s="63">
        <v>1180</v>
      </c>
      <c r="M754" s="64" t="s">
        <v>480</v>
      </c>
      <c r="N754" s="2"/>
    </row>
    <row r="755" spans="1:14" ht="14.4">
      <c r="A755" s="158">
        <v>45839</v>
      </c>
      <c r="B755" s="143" t="s">
        <v>2093</v>
      </c>
      <c r="C755" s="144" t="s">
        <v>2094</v>
      </c>
      <c r="D755" s="140" t="s">
        <v>280</v>
      </c>
      <c r="E755" s="145" t="s">
        <v>447</v>
      </c>
      <c r="F755" s="145" t="s">
        <v>252</v>
      </c>
      <c r="G755" s="23" t="s">
        <v>23</v>
      </c>
      <c r="H755" s="144" t="s">
        <v>2095</v>
      </c>
      <c r="I755" s="144" t="s">
        <v>1111</v>
      </c>
      <c r="J755" s="147"/>
      <c r="K755" s="147"/>
      <c r="L755" s="147"/>
      <c r="M755" s="64" t="s">
        <v>1381</v>
      </c>
      <c r="N755" s="2"/>
    </row>
    <row r="756" spans="1:14" ht="14.4">
      <c r="A756" s="42">
        <v>45839</v>
      </c>
      <c r="B756" s="61" t="s">
        <v>1627</v>
      </c>
      <c r="C756" s="39" t="s">
        <v>1613</v>
      </c>
      <c r="D756" s="20" t="s">
        <v>1050</v>
      </c>
      <c r="E756" s="54" t="s">
        <v>447</v>
      </c>
      <c r="F756" s="54" t="s">
        <v>487</v>
      </c>
      <c r="G756" s="10" t="s">
        <v>40</v>
      </c>
      <c r="H756" s="39" t="s">
        <v>2096</v>
      </c>
      <c r="I756" s="39"/>
      <c r="J756" s="44">
        <v>299</v>
      </c>
      <c r="K756" s="44"/>
      <c r="L756" s="63">
        <v>299</v>
      </c>
      <c r="M756" s="64" t="s">
        <v>480</v>
      </c>
      <c r="N756" s="2"/>
    </row>
    <row r="757" spans="1:14" ht="14.4">
      <c r="A757" s="42">
        <v>45839</v>
      </c>
      <c r="B757" s="61" t="s">
        <v>480</v>
      </c>
      <c r="C757" s="39" t="s">
        <v>2097</v>
      </c>
      <c r="D757" s="20" t="s">
        <v>27</v>
      </c>
      <c r="E757" s="54" t="s">
        <v>447</v>
      </c>
      <c r="F757" s="54" t="s">
        <v>27</v>
      </c>
      <c r="G757" s="10" t="s">
        <v>27</v>
      </c>
      <c r="H757" s="39" t="s">
        <v>1424</v>
      </c>
      <c r="I757" s="39"/>
      <c r="J757" s="44">
        <v>190</v>
      </c>
      <c r="K757" s="44"/>
      <c r="L757" s="63">
        <v>190</v>
      </c>
      <c r="M757" s="64" t="s">
        <v>1381</v>
      </c>
      <c r="N757" s="2"/>
    </row>
    <row r="758" spans="1:14" ht="14.4">
      <c r="A758" s="42">
        <v>45840</v>
      </c>
      <c r="B758" s="61" t="s">
        <v>2098</v>
      </c>
      <c r="C758" s="39" t="s">
        <v>2099</v>
      </c>
      <c r="D758" s="20" t="s">
        <v>446</v>
      </c>
      <c r="E758" s="54" t="s">
        <v>447</v>
      </c>
      <c r="F758" s="54" t="s">
        <v>252</v>
      </c>
      <c r="G758" s="23" t="s">
        <v>23</v>
      </c>
      <c r="H758" s="39" t="s">
        <v>2100</v>
      </c>
      <c r="I758" s="39" t="s">
        <v>1091</v>
      </c>
      <c r="J758" s="44">
        <v>70</v>
      </c>
      <c r="K758" s="44"/>
      <c r="L758" s="63">
        <v>70</v>
      </c>
      <c r="M758" s="64" t="s">
        <v>1678</v>
      </c>
      <c r="N758" s="2"/>
    </row>
    <row r="759" spans="1:14" ht="14.4">
      <c r="A759" s="42">
        <v>45840</v>
      </c>
      <c r="B759" s="61" t="s">
        <v>2101</v>
      </c>
      <c r="C759" s="39" t="s">
        <v>2102</v>
      </c>
      <c r="D759" s="20" t="s">
        <v>1254</v>
      </c>
      <c r="E759" s="54" t="s">
        <v>447</v>
      </c>
      <c r="F759" s="54" t="s">
        <v>252</v>
      </c>
      <c r="G759" s="23" t="s">
        <v>23</v>
      </c>
      <c r="H759" s="39" t="s">
        <v>2100</v>
      </c>
      <c r="I759" s="39" t="s">
        <v>1085</v>
      </c>
      <c r="J759" s="44">
        <v>70</v>
      </c>
      <c r="K759" s="44"/>
      <c r="L759" s="63">
        <v>70</v>
      </c>
      <c r="M759" s="64" t="s">
        <v>1678</v>
      </c>
      <c r="N759" s="2"/>
    </row>
    <row r="760" spans="1:14" ht="14.4">
      <c r="A760" s="42">
        <v>45840</v>
      </c>
      <c r="B760" s="61" t="s">
        <v>2103</v>
      </c>
      <c r="C760" s="39" t="s">
        <v>2104</v>
      </c>
      <c r="D760" s="20" t="s">
        <v>446</v>
      </c>
      <c r="E760" s="54" t="s">
        <v>447</v>
      </c>
      <c r="F760" s="54" t="s">
        <v>252</v>
      </c>
      <c r="G760" s="23" t="s">
        <v>23</v>
      </c>
      <c r="H760" s="39" t="s">
        <v>2100</v>
      </c>
      <c r="I760" s="39" t="s">
        <v>1091</v>
      </c>
      <c r="J760" s="44">
        <v>70</v>
      </c>
      <c r="K760" s="44"/>
      <c r="L760" s="63">
        <v>70</v>
      </c>
      <c r="M760" s="64" t="s">
        <v>1678</v>
      </c>
      <c r="N760" s="2"/>
    </row>
    <row r="761" spans="1:14" ht="14.4">
      <c r="A761" s="42">
        <v>45840</v>
      </c>
      <c r="B761" s="61" t="s">
        <v>2105</v>
      </c>
      <c r="C761" s="39" t="s">
        <v>2007</v>
      </c>
      <c r="D761" s="20" t="s">
        <v>1033</v>
      </c>
      <c r="E761" s="54" t="s">
        <v>447</v>
      </c>
      <c r="F761" s="54" t="s">
        <v>487</v>
      </c>
      <c r="G761" s="10" t="s">
        <v>40</v>
      </c>
      <c r="H761" s="39" t="s">
        <v>2106</v>
      </c>
      <c r="I761" s="39"/>
      <c r="J761" s="44">
        <v>595</v>
      </c>
      <c r="K761" s="44"/>
      <c r="L761" s="63">
        <v>660</v>
      </c>
      <c r="M761" s="64" t="s">
        <v>1678</v>
      </c>
      <c r="N761" s="2"/>
    </row>
    <row r="762" spans="1:14" ht="14.4">
      <c r="A762" s="42">
        <v>45840</v>
      </c>
      <c r="B762" s="61" t="s">
        <v>2107</v>
      </c>
      <c r="C762" s="39" t="s">
        <v>1746</v>
      </c>
      <c r="D762" s="20" t="s">
        <v>1035</v>
      </c>
      <c r="E762" s="54" t="s">
        <v>447</v>
      </c>
      <c r="F762" s="54" t="s">
        <v>463</v>
      </c>
      <c r="G762" s="10" t="s">
        <v>40</v>
      </c>
      <c r="H762" s="39" t="s">
        <v>2108</v>
      </c>
      <c r="I762" s="39"/>
      <c r="J762" s="44">
        <v>460</v>
      </c>
      <c r="K762" s="44"/>
      <c r="L762" s="63">
        <v>460</v>
      </c>
      <c r="M762" s="64" t="s">
        <v>1381</v>
      </c>
      <c r="N762" s="2"/>
    </row>
    <row r="763" spans="1:14" ht="14.4">
      <c r="A763" s="42">
        <v>45840</v>
      </c>
      <c r="B763" s="61" t="s">
        <v>2109</v>
      </c>
      <c r="C763" s="39" t="s">
        <v>2110</v>
      </c>
      <c r="D763" s="20" t="s">
        <v>985</v>
      </c>
      <c r="E763" s="54" t="s">
        <v>447</v>
      </c>
      <c r="F763" s="54" t="s">
        <v>283</v>
      </c>
      <c r="G763" s="23" t="s">
        <v>23</v>
      </c>
      <c r="H763" s="39" t="s">
        <v>2111</v>
      </c>
      <c r="I763" s="39" t="s">
        <v>1220</v>
      </c>
      <c r="J763" s="44">
        <v>429</v>
      </c>
      <c r="K763" s="44"/>
      <c r="L763" s="63">
        <v>429</v>
      </c>
      <c r="M763" s="64" t="s">
        <v>1381</v>
      </c>
      <c r="N763" s="2"/>
    </row>
    <row r="764" spans="1:14" ht="14.4">
      <c r="A764" s="42">
        <v>45841</v>
      </c>
      <c r="B764" s="61" t="s">
        <v>2112</v>
      </c>
      <c r="C764" s="39" t="s">
        <v>2113</v>
      </c>
      <c r="D764" s="20" t="s">
        <v>974</v>
      </c>
      <c r="E764" s="54" t="s">
        <v>447</v>
      </c>
      <c r="F764" s="54" t="s">
        <v>487</v>
      </c>
      <c r="G764" s="23" t="s">
        <v>40</v>
      </c>
      <c r="H764" s="39" t="s">
        <v>2114</v>
      </c>
      <c r="I764" s="39"/>
      <c r="J764" s="44">
        <v>430</v>
      </c>
      <c r="K764" s="44"/>
      <c r="L764" s="63">
        <v>430</v>
      </c>
      <c r="M764" s="64" t="s">
        <v>1381</v>
      </c>
      <c r="N764" s="2"/>
    </row>
    <row r="765" spans="1:14" ht="14.4">
      <c r="A765" s="42">
        <v>45841</v>
      </c>
      <c r="B765" s="61" t="s">
        <v>2115</v>
      </c>
      <c r="C765" s="39" t="s">
        <v>2116</v>
      </c>
      <c r="D765" s="20" t="s">
        <v>985</v>
      </c>
      <c r="E765" s="54" t="s">
        <v>447</v>
      </c>
      <c r="F765" s="54" t="s">
        <v>253</v>
      </c>
      <c r="G765" s="23" t="s">
        <v>23</v>
      </c>
      <c r="H765" s="39" t="s">
        <v>2117</v>
      </c>
      <c r="I765" s="39" t="s">
        <v>1105</v>
      </c>
      <c r="J765" s="44">
        <v>90</v>
      </c>
      <c r="K765" s="44"/>
      <c r="L765" s="63">
        <v>90</v>
      </c>
      <c r="M765" s="64" t="s">
        <v>1381</v>
      </c>
      <c r="N765" s="2"/>
    </row>
    <row r="766" spans="1:14" ht="14.4">
      <c r="A766" s="42">
        <v>45841</v>
      </c>
      <c r="B766" s="61" t="s">
        <v>2118</v>
      </c>
      <c r="C766" s="39" t="s">
        <v>2119</v>
      </c>
      <c r="D766" s="20" t="s">
        <v>502</v>
      </c>
      <c r="E766" s="54" t="s">
        <v>447</v>
      </c>
      <c r="F766" s="54" t="s">
        <v>33</v>
      </c>
      <c r="G766" s="23" t="s">
        <v>23</v>
      </c>
      <c r="H766" s="39" t="s">
        <v>1594</v>
      </c>
      <c r="I766" s="39" t="s">
        <v>1159</v>
      </c>
      <c r="J766" s="44">
        <v>60</v>
      </c>
      <c r="K766" s="44"/>
      <c r="L766" s="63">
        <v>60</v>
      </c>
      <c r="M766" s="64" t="s">
        <v>1381</v>
      </c>
      <c r="N766" s="2"/>
    </row>
    <row r="767" spans="1:14" ht="14.4">
      <c r="A767" s="42">
        <v>45842</v>
      </c>
      <c r="B767" s="61" t="s">
        <v>480</v>
      </c>
      <c r="C767" s="39" t="s">
        <v>2070</v>
      </c>
      <c r="D767" s="20" t="s">
        <v>1035</v>
      </c>
      <c r="E767" s="54" t="s">
        <v>447</v>
      </c>
      <c r="F767" s="54" t="s">
        <v>487</v>
      </c>
      <c r="G767" s="23" t="s">
        <v>40</v>
      </c>
      <c r="H767" s="39" t="s">
        <v>2120</v>
      </c>
      <c r="I767" s="39"/>
      <c r="J767" s="44">
        <v>730</v>
      </c>
      <c r="K767" s="44"/>
      <c r="L767" s="63">
        <v>730</v>
      </c>
      <c r="M767" s="64" t="s">
        <v>1678</v>
      </c>
      <c r="N767" s="2"/>
    </row>
    <row r="768" spans="1:14" ht="14.4">
      <c r="A768" s="42">
        <v>45842</v>
      </c>
      <c r="B768" s="61" t="s">
        <v>2121</v>
      </c>
      <c r="C768" s="39" t="s">
        <v>2122</v>
      </c>
      <c r="D768" s="20" t="s">
        <v>446</v>
      </c>
      <c r="E768" s="54" t="s">
        <v>447</v>
      </c>
      <c r="F768" s="54" t="s">
        <v>33</v>
      </c>
      <c r="G768" s="23" t="s">
        <v>23</v>
      </c>
      <c r="H768" s="39" t="s">
        <v>1219</v>
      </c>
      <c r="I768" s="39" t="s">
        <v>1091</v>
      </c>
      <c r="J768" s="44">
        <v>50</v>
      </c>
      <c r="K768" s="44"/>
      <c r="L768" s="63">
        <v>50</v>
      </c>
      <c r="M768" s="64" t="s">
        <v>742</v>
      </c>
      <c r="N768" s="2"/>
    </row>
    <row r="769" spans="1:14" ht="14.4">
      <c r="A769" s="42">
        <v>45842</v>
      </c>
      <c r="B769" s="61" t="s">
        <v>2123</v>
      </c>
      <c r="C769" s="39" t="s">
        <v>2124</v>
      </c>
      <c r="D769" s="20" t="s">
        <v>502</v>
      </c>
      <c r="E769" s="54" t="s">
        <v>447</v>
      </c>
      <c r="F769" s="54" t="s">
        <v>33</v>
      </c>
      <c r="G769" s="23" t="s">
        <v>23</v>
      </c>
      <c r="H769" s="39" t="s">
        <v>919</v>
      </c>
      <c r="I769" s="39" t="s">
        <v>2125</v>
      </c>
      <c r="J769" s="44">
        <v>80</v>
      </c>
      <c r="K769" s="44"/>
      <c r="L769" s="63">
        <v>80</v>
      </c>
      <c r="M769" s="64" t="s">
        <v>1678</v>
      </c>
      <c r="N769" s="2"/>
    </row>
    <row r="770" spans="1:14" ht="14.4">
      <c r="A770" s="42">
        <v>45842</v>
      </c>
      <c r="B770" s="61" t="s">
        <v>2126</v>
      </c>
      <c r="C770" s="39" t="s">
        <v>2127</v>
      </c>
      <c r="D770" s="20" t="s">
        <v>446</v>
      </c>
      <c r="E770" s="54" t="s">
        <v>447</v>
      </c>
      <c r="F770" s="54" t="s">
        <v>33</v>
      </c>
      <c r="G770" s="23" t="s">
        <v>23</v>
      </c>
      <c r="H770" s="39" t="s">
        <v>886</v>
      </c>
      <c r="I770" s="39" t="s">
        <v>1220</v>
      </c>
      <c r="J770" s="44">
        <v>60</v>
      </c>
      <c r="K770" s="44"/>
      <c r="L770" s="63">
        <v>60</v>
      </c>
      <c r="M770" s="64" t="s">
        <v>742</v>
      </c>
      <c r="N770" s="2"/>
    </row>
    <row r="771" spans="1:14" ht="14.4">
      <c r="A771" s="42">
        <v>45842</v>
      </c>
      <c r="B771" s="61" t="s">
        <v>2128</v>
      </c>
      <c r="C771" s="39" t="s">
        <v>2129</v>
      </c>
      <c r="D771" s="20" t="s">
        <v>1033</v>
      </c>
      <c r="E771" s="54" t="s">
        <v>447</v>
      </c>
      <c r="F771" s="54" t="s">
        <v>463</v>
      </c>
      <c r="G771" s="23" t="s">
        <v>40</v>
      </c>
      <c r="H771" s="39" t="s">
        <v>463</v>
      </c>
      <c r="I771" s="39"/>
      <c r="J771" s="44">
        <v>190</v>
      </c>
      <c r="K771" s="44"/>
      <c r="L771" s="63">
        <v>190</v>
      </c>
      <c r="M771" s="64" t="s">
        <v>742</v>
      </c>
      <c r="N771" s="2"/>
    </row>
    <row r="772" spans="1:14" ht="14.4">
      <c r="A772" s="42">
        <v>45845</v>
      </c>
      <c r="B772" s="61" t="s">
        <v>2130</v>
      </c>
      <c r="C772" s="39" t="s">
        <v>2131</v>
      </c>
      <c r="D772" s="20" t="s">
        <v>1254</v>
      </c>
      <c r="E772" s="54" t="s">
        <v>447</v>
      </c>
      <c r="F772" s="54" t="s">
        <v>252</v>
      </c>
      <c r="G772" s="23" t="s">
        <v>23</v>
      </c>
      <c r="H772" s="39" t="s">
        <v>1738</v>
      </c>
      <c r="I772" s="39" t="s">
        <v>1194</v>
      </c>
      <c r="J772" s="44">
        <v>112.5</v>
      </c>
      <c r="K772" s="44">
        <v>112.5</v>
      </c>
      <c r="L772" s="63">
        <v>225</v>
      </c>
      <c r="M772" s="64" t="s">
        <v>742</v>
      </c>
      <c r="N772" s="2"/>
    </row>
    <row r="773" spans="1:14" ht="14.4">
      <c r="A773" s="42">
        <v>45845</v>
      </c>
      <c r="B773" s="61" t="s">
        <v>2132</v>
      </c>
      <c r="C773" s="39" t="s">
        <v>2133</v>
      </c>
      <c r="D773" s="20" t="s">
        <v>1035</v>
      </c>
      <c r="E773" s="54" t="s">
        <v>519</v>
      </c>
      <c r="F773" s="54" t="s">
        <v>463</v>
      </c>
      <c r="G773" s="23" t="s">
        <v>40</v>
      </c>
      <c r="H773" s="39" t="s">
        <v>1393</v>
      </c>
      <c r="I773" s="39"/>
      <c r="J773" s="44">
        <v>80</v>
      </c>
      <c r="K773" s="44"/>
      <c r="L773" s="63">
        <v>80</v>
      </c>
      <c r="M773" s="64" t="s">
        <v>742</v>
      </c>
      <c r="N773" s="2"/>
    </row>
    <row r="774" spans="1:14" ht="14.4">
      <c r="A774" s="42">
        <v>45845</v>
      </c>
      <c r="B774" s="61" t="s">
        <v>2134</v>
      </c>
      <c r="C774" s="39" t="s">
        <v>2135</v>
      </c>
      <c r="D774" s="20" t="s">
        <v>1035</v>
      </c>
      <c r="E774" s="54" t="s">
        <v>447</v>
      </c>
      <c r="F774" s="54" t="s">
        <v>463</v>
      </c>
      <c r="G774" s="23" t="s">
        <v>40</v>
      </c>
      <c r="H774" s="39" t="s">
        <v>1393</v>
      </c>
      <c r="I774" s="39"/>
      <c r="J774" s="44">
        <v>65</v>
      </c>
      <c r="K774" s="44"/>
      <c r="L774" s="63">
        <v>65</v>
      </c>
      <c r="M774" s="64" t="s">
        <v>742</v>
      </c>
      <c r="N774" s="2"/>
    </row>
    <row r="775" spans="1:14" ht="14.4">
      <c r="A775" s="42">
        <v>45845</v>
      </c>
      <c r="B775" s="61" t="s">
        <v>2136</v>
      </c>
      <c r="C775" s="39" t="s">
        <v>2137</v>
      </c>
      <c r="D775" s="20" t="s">
        <v>1035</v>
      </c>
      <c r="E775" s="54" t="s">
        <v>447</v>
      </c>
      <c r="F775" s="54" t="s">
        <v>463</v>
      </c>
      <c r="G775" s="23" t="s">
        <v>40</v>
      </c>
      <c r="H775" s="39" t="s">
        <v>1371</v>
      </c>
      <c r="I775" s="39"/>
      <c r="J775" s="44">
        <v>90</v>
      </c>
      <c r="K775" s="44"/>
      <c r="L775" s="63">
        <v>90</v>
      </c>
      <c r="M775" s="64" t="s">
        <v>1381</v>
      </c>
      <c r="N775" s="2"/>
    </row>
    <row r="776" spans="1:14" ht="14.4">
      <c r="A776" s="42">
        <v>45845</v>
      </c>
      <c r="B776" s="61" t="s">
        <v>2138</v>
      </c>
      <c r="C776" s="39" t="s">
        <v>2139</v>
      </c>
      <c r="D776" s="20" t="s">
        <v>864</v>
      </c>
      <c r="E776" s="54" t="s">
        <v>447</v>
      </c>
      <c r="F776" s="54" t="s">
        <v>25</v>
      </c>
      <c r="G776" s="23" t="s">
        <v>25</v>
      </c>
      <c r="H776" s="39" t="s">
        <v>324</v>
      </c>
      <c r="I776" s="39"/>
      <c r="J776" s="44">
        <v>1050</v>
      </c>
      <c r="K776" s="44"/>
      <c r="L776" s="63">
        <v>1050</v>
      </c>
      <c r="M776" s="64" t="s">
        <v>1381</v>
      </c>
      <c r="N776" s="2"/>
    </row>
    <row r="777" spans="1:14" ht="14.4">
      <c r="A777" s="42">
        <v>45845</v>
      </c>
      <c r="B777" s="61" t="s">
        <v>2140</v>
      </c>
      <c r="C777" s="39" t="s">
        <v>2141</v>
      </c>
      <c r="D777" s="20" t="s">
        <v>1254</v>
      </c>
      <c r="E777" s="54" t="s">
        <v>447</v>
      </c>
      <c r="F777" s="54" t="s">
        <v>252</v>
      </c>
      <c r="G777" s="23" t="s">
        <v>23</v>
      </c>
      <c r="H777" s="39" t="s">
        <v>2142</v>
      </c>
      <c r="I777" s="39" t="s">
        <v>1325</v>
      </c>
      <c r="J777" s="44">
        <v>60</v>
      </c>
      <c r="K777" s="44"/>
      <c r="L777" s="63">
        <v>60</v>
      </c>
      <c r="M777" s="64" t="s">
        <v>1381</v>
      </c>
      <c r="N777" s="2"/>
    </row>
    <row r="778" spans="1:14" ht="14.4">
      <c r="A778" s="42">
        <v>45846</v>
      </c>
      <c r="B778" s="61" t="s">
        <v>2143</v>
      </c>
      <c r="C778" s="39" t="s">
        <v>2144</v>
      </c>
      <c r="D778" s="20" t="s">
        <v>1254</v>
      </c>
      <c r="E778" s="54" t="s">
        <v>519</v>
      </c>
      <c r="F778" s="54" t="s">
        <v>33</v>
      </c>
      <c r="G778" s="23" t="s">
        <v>23</v>
      </c>
      <c r="H778" s="39" t="s">
        <v>2145</v>
      </c>
      <c r="I778" s="39" t="s">
        <v>1291</v>
      </c>
      <c r="J778" s="44">
        <v>80</v>
      </c>
      <c r="K778" s="44"/>
      <c r="L778" s="63">
        <v>80</v>
      </c>
      <c r="M778" s="64" t="s">
        <v>742</v>
      </c>
      <c r="N778" s="2"/>
    </row>
    <row r="779" spans="1:14" ht="14.4">
      <c r="A779" s="42">
        <v>45846</v>
      </c>
      <c r="B779" s="61" t="s">
        <v>2146</v>
      </c>
      <c r="C779" s="39" t="s">
        <v>2147</v>
      </c>
      <c r="D779" s="20" t="s">
        <v>1035</v>
      </c>
      <c r="E779" s="54" t="s">
        <v>447</v>
      </c>
      <c r="F779" s="54" t="s">
        <v>487</v>
      </c>
      <c r="G779" s="23" t="s">
        <v>40</v>
      </c>
      <c r="H779" s="170" t="s">
        <v>2148</v>
      </c>
      <c r="I779" s="39"/>
      <c r="J779" s="44">
        <v>1400</v>
      </c>
      <c r="K779" s="44"/>
      <c r="L779" s="63">
        <v>1400</v>
      </c>
      <c r="M779" s="64" t="s">
        <v>742</v>
      </c>
      <c r="N779" s="2"/>
    </row>
    <row r="780" spans="1:14" ht="14.4">
      <c r="A780" s="42">
        <v>45846</v>
      </c>
      <c r="B780" s="61" t="s">
        <v>2149</v>
      </c>
      <c r="C780" s="39" t="s">
        <v>2150</v>
      </c>
      <c r="D780" s="20" t="s">
        <v>1035</v>
      </c>
      <c r="E780" s="54" t="s">
        <v>519</v>
      </c>
      <c r="F780" s="54" t="s">
        <v>487</v>
      </c>
      <c r="G780" s="23" t="s">
        <v>40</v>
      </c>
      <c r="H780" s="170" t="s">
        <v>1410</v>
      </c>
      <c r="I780" s="39"/>
      <c r="J780" s="44">
        <v>400</v>
      </c>
      <c r="K780" s="44"/>
      <c r="L780" s="63">
        <v>400</v>
      </c>
      <c r="M780" s="64" t="s">
        <v>742</v>
      </c>
      <c r="N780" s="2"/>
    </row>
    <row r="781" spans="1:14" ht="14.4">
      <c r="A781" s="42">
        <v>45846</v>
      </c>
      <c r="B781" s="61" t="s">
        <v>2151</v>
      </c>
      <c r="C781" s="39" t="s">
        <v>2152</v>
      </c>
      <c r="D781" s="20" t="s">
        <v>502</v>
      </c>
      <c r="E781" s="54" t="s">
        <v>447</v>
      </c>
      <c r="F781" s="54" t="s">
        <v>33</v>
      </c>
      <c r="G781" s="23" t="s">
        <v>23</v>
      </c>
      <c r="H781" s="39" t="s">
        <v>886</v>
      </c>
      <c r="I781" s="39" t="s">
        <v>1085</v>
      </c>
      <c r="J781" s="44">
        <v>60</v>
      </c>
      <c r="K781" s="44"/>
      <c r="L781" s="63">
        <v>60</v>
      </c>
      <c r="M781" s="64" t="s">
        <v>742</v>
      </c>
      <c r="N781" s="2"/>
    </row>
    <row r="782" spans="1:14" ht="14.4">
      <c r="A782" s="42">
        <v>45846</v>
      </c>
      <c r="B782" s="61" t="s">
        <v>2153</v>
      </c>
      <c r="C782" s="39" t="s">
        <v>1939</v>
      </c>
      <c r="D782" s="20" t="s">
        <v>1033</v>
      </c>
      <c r="E782" s="54" t="s">
        <v>447</v>
      </c>
      <c r="F782" s="54" t="s">
        <v>487</v>
      </c>
      <c r="G782" s="23" t="s">
        <v>40</v>
      </c>
      <c r="H782" s="39" t="s">
        <v>2154</v>
      </c>
      <c r="I782" s="39"/>
      <c r="J782" s="44">
        <v>830</v>
      </c>
      <c r="K782" s="44"/>
      <c r="L782" s="63">
        <v>830</v>
      </c>
      <c r="M782" s="64" t="s">
        <v>742</v>
      </c>
      <c r="N782" s="2"/>
    </row>
    <row r="783" spans="1:14" ht="14.4">
      <c r="A783" s="42">
        <v>45846</v>
      </c>
      <c r="B783" s="61" t="s">
        <v>2155</v>
      </c>
      <c r="C783" s="39" t="s">
        <v>2156</v>
      </c>
      <c r="D783" s="20" t="s">
        <v>1035</v>
      </c>
      <c r="E783" s="54" t="s">
        <v>447</v>
      </c>
      <c r="F783" s="54" t="s">
        <v>463</v>
      </c>
      <c r="G783" s="23" t="s">
        <v>40</v>
      </c>
      <c r="H783" s="39" t="s">
        <v>1371</v>
      </c>
      <c r="I783" s="39"/>
      <c r="J783" s="44">
        <v>90</v>
      </c>
      <c r="K783" s="44"/>
      <c r="L783" s="63">
        <v>90</v>
      </c>
      <c r="M783" s="64" t="s">
        <v>1381</v>
      </c>
      <c r="N783" s="2"/>
    </row>
    <row r="784" spans="1:14" ht="14.4">
      <c r="A784" s="42">
        <v>45846</v>
      </c>
      <c r="B784" s="61" t="s">
        <v>2157</v>
      </c>
      <c r="C784" s="39" t="s">
        <v>2158</v>
      </c>
      <c r="D784" s="20" t="s">
        <v>502</v>
      </c>
      <c r="E784" s="54" t="s">
        <v>447</v>
      </c>
      <c r="F784" s="54" t="s">
        <v>33</v>
      </c>
      <c r="G784" s="23" t="s">
        <v>23</v>
      </c>
      <c r="H784" s="39" t="s">
        <v>886</v>
      </c>
      <c r="I784" s="39" t="s">
        <v>1446</v>
      </c>
      <c r="J784" s="44">
        <v>80</v>
      </c>
      <c r="K784" s="44"/>
      <c r="L784" s="63">
        <v>80</v>
      </c>
      <c r="M784" s="64" t="s">
        <v>742</v>
      </c>
      <c r="N784" s="2"/>
    </row>
    <row r="785" spans="1:14" ht="14.4">
      <c r="A785" s="42">
        <v>45847</v>
      </c>
      <c r="B785" s="61" t="s">
        <v>2159</v>
      </c>
      <c r="C785" s="39" t="s">
        <v>2160</v>
      </c>
      <c r="D785" s="20" t="s">
        <v>446</v>
      </c>
      <c r="E785" s="54" t="s">
        <v>447</v>
      </c>
      <c r="F785" s="54" t="s">
        <v>33</v>
      </c>
      <c r="G785" s="23" t="s">
        <v>23</v>
      </c>
      <c r="H785" s="39" t="s">
        <v>886</v>
      </c>
      <c r="I785" s="39" t="s">
        <v>1603</v>
      </c>
      <c r="J785" s="44">
        <v>80</v>
      </c>
      <c r="K785" s="44"/>
      <c r="L785" s="63">
        <v>80</v>
      </c>
      <c r="M785" s="64" t="s">
        <v>742</v>
      </c>
      <c r="N785" s="2"/>
    </row>
    <row r="786" spans="1:14" ht="14.4">
      <c r="A786" s="42">
        <v>45847</v>
      </c>
      <c r="B786" s="61" t="s">
        <v>2161</v>
      </c>
      <c r="C786" s="39" t="s">
        <v>2162</v>
      </c>
      <c r="D786" s="20" t="s">
        <v>502</v>
      </c>
      <c r="E786" s="54" t="s">
        <v>447</v>
      </c>
      <c r="F786" s="54" t="s">
        <v>33</v>
      </c>
      <c r="G786" s="23" t="s">
        <v>23</v>
      </c>
      <c r="H786" s="39" t="s">
        <v>886</v>
      </c>
      <c r="I786" s="39" t="s">
        <v>1258</v>
      </c>
      <c r="J786" s="44">
        <v>90</v>
      </c>
      <c r="K786" s="44"/>
      <c r="L786" s="63">
        <v>90</v>
      </c>
      <c r="M786" s="64" t="s">
        <v>742</v>
      </c>
      <c r="N786" s="2"/>
    </row>
    <row r="787" spans="1:14" ht="14.4">
      <c r="A787" s="42">
        <v>45847</v>
      </c>
      <c r="B787" s="61" t="s">
        <v>2163</v>
      </c>
      <c r="C787" s="39" t="s">
        <v>2164</v>
      </c>
      <c r="D787" s="20" t="s">
        <v>280</v>
      </c>
      <c r="E787" s="54" t="s">
        <v>447</v>
      </c>
      <c r="F787" s="54" t="s">
        <v>253</v>
      </c>
      <c r="G787" s="23" t="s">
        <v>23</v>
      </c>
      <c r="H787" s="39" t="s">
        <v>1211</v>
      </c>
      <c r="I787" s="39" t="s">
        <v>1085</v>
      </c>
      <c r="J787" s="44">
        <v>125</v>
      </c>
      <c r="K787" s="44">
        <v>125</v>
      </c>
      <c r="L787" s="63">
        <v>250</v>
      </c>
      <c r="M787" s="64" t="s">
        <v>742</v>
      </c>
      <c r="N787" s="2"/>
    </row>
    <row r="788" spans="1:14" ht="14.4">
      <c r="A788" s="42">
        <v>45848</v>
      </c>
      <c r="B788" s="61" t="s">
        <v>2165</v>
      </c>
      <c r="C788" s="39" t="s">
        <v>2166</v>
      </c>
      <c r="D788" s="20" t="s">
        <v>1035</v>
      </c>
      <c r="E788" s="54" t="s">
        <v>447</v>
      </c>
      <c r="F788" s="54" t="s">
        <v>487</v>
      </c>
      <c r="G788" s="23" t="s">
        <v>40</v>
      </c>
      <c r="H788" s="39" t="s">
        <v>1065</v>
      </c>
      <c r="I788" s="39"/>
      <c r="J788" s="44">
        <v>480</v>
      </c>
      <c r="K788" s="44"/>
      <c r="L788" s="63">
        <v>480</v>
      </c>
      <c r="M788" s="64" t="s">
        <v>1381</v>
      </c>
      <c r="N788" s="2"/>
    </row>
    <row r="789" spans="1:14" ht="14.4">
      <c r="A789" s="42">
        <v>45848</v>
      </c>
      <c r="B789" s="61" t="s">
        <v>2167</v>
      </c>
      <c r="C789" s="39" t="s">
        <v>2168</v>
      </c>
      <c r="D789" s="20" t="s">
        <v>502</v>
      </c>
      <c r="E789" s="54" t="s">
        <v>447</v>
      </c>
      <c r="F789" s="54" t="s">
        <v>252</v>
      </c>
      <c r="G789" s="23" t="s">
        <v>23</v>
      </c>
      <c r="H789" s="39" t="s">
        <v>2169</v>
      </c>
      <c r="I789" s="39" t="s">
        <v>1111</v>
      </c>
      <c r="J789" s="44">
        <v>80</v>
      </c>
      <c r="K789" s="44"/>
      <c r="L789" s="63">
        <v>80</v>
      </c>
      <c r="M789" s="64" t="s">
        <v>1381</v>
      </c>
      <c r="N789" s="2"/>
    </row>
    <row r="790" spans="1:14" ht="14.4">
      <c r="A790" s="42">
        <v>45848</v>
      </c>
      <c r="B790" s="61" t="s">
        <v>2170</v>
      </c>
      <c r="C790" s="39" t="s">
        <v>2171</v>
      </c>
      <c r="D790" s="20" t="s">
        <v>446</v>
      </c>
      <c r="E790" s="54" t="s">
        <v>447</v>
      </c>
      <c r="F790" s="54" t="s">
        <v>33</v>
      </c>
      <c r="G790" s="23" t="s">
        <v>23</v>
      </c>
      <c r="H790" s="39" t="s">
        <v>886</v>
      </c>
      <c r="I790" s="39" t="s">
        <v>1299</v>
      </c>
      <c r="J790" s="44">
        <v>80</v>
      </c>
      <c r="K790" s="44"/>
      <c r="L790" s="63">
        <v>80</v>
      </c>
      <c r="M790" s="64" t="s">
        <v>742</v>
      </c>
      <c r="N790" s="2"/>
    </row>
    <row r="791" spans="1:14" ht="14.4">
      <c r="A791" s="42">
        <v>45848</v>
      </c>
      <c r="B791" s="61" t="s">
        <v>2172</v>
      </c>
      <c r="C791" s="39" t="s">
        <v>2173</v>
      </c>
      <c r="D791" s="20" t="s">
        <v>446</v>
      </c>
      <c r="E791" s="54" t="s">
        <v>447</v>
      </c>
      <c r="F791" s="54" t="s">
        <v>33</v>
      </c>
      <c r="G791" s="23" t="s">
        <v>23</v>
      </c>
      <c r="H791" s="39" t="s">
        <v>886</v>
      </c>
      <c r="I791" s="39" t="s">
        <v>1299</v>
      </c>
      <c r="J791" s="44">
        <v>80</v>
      </c>
      <c r="K791" s="44"/>
      <c r="L791" s="63">
        <v>80</v>
      </c>
      <c r="M791" s="64" t="s">
        <v>742</v>
      </c>
      <c r="N791" s="2"/>
    </row>
    <row r="792" spans="1:14" ht="14.4">
      <c r="A792" s="42">
        <v>45848</v>
      </c>
      <c r="B792" s="61" t="s">
        <v>2174</v>
      </c>
      <c r="C792" s="39" t="s">
        <v>2175</v>
      </c>
      <c r="D792" s="20" t="s">
        <v>1033</v>
      </c>
      <c r="E792" s="54" t="s">
        <v>447</v>
      </c>
      <c r="F792" s="54" t="s">
        <v>463</v>
      </c>
      <c r="G792" s="23" t="s">
        <v>40</v>
      </c>
      <c r="H792" s="39" t="s">
        <v>1677</v>
      </c>
      <c r="I792" s="39"/>
      <c r="J792" s="44">
        <v>228</v>
      </c>
      <c r="K792" s="44"/>
      <c r="L792" s="63">
        <v>228</v>
      </c>
      <c r="M792" s="64" t="s">
        <v>742</v>
      </c>
      <c r="N792" s="2"/>
    </row>
    <row r="793" spans="1:14" ht="14.4">
      <c r="A793" s="42">
        <v>45848</v>
      </c>
      <c r="B793" s="61" t="s">
        <v>2176</v>
      </c>
      <c r="C793" s="39" t="s">
        <v>2177</v>
      </c>
      <c r="D793" s="20" t="s">
        <v>280</v>
      </c>
      <c r="E793" s="54" t="s">
        <v>447</v>
      </c>
      <c r="F793" s="54" t="s">
        <v>33</v>
      </c>
      <c r="G793" s="23" t="s">
        <v>23</v>
      </c>
      <c r="H793" s="39" t="s">
        <v>886</v>
      </c>
      <c r="I793" s="39" t="s">
        <v>1656</v>
      </c>
      <c r="J793" s="44">
        <v>80</v>
      </c>
      <c r="K793" s="44"/>
      <c r="L793" s="63">
        <v>80</v>
      </c>
      <c r="M793" s="64" t="s">
        <v>742</v>
      </c>
      <c r="N793" s="2"/>
    </row>
    <row r="794" spans="1:14" ht="14.4">
      <c r="A794" s="42">
        <v>45849</v>
      </c>
      <c r="B794" s="61" t="s">
        <v>1925</v>
      </c>
      <c r="C794" s="39" t="s">
        <v>1926</v>
      </c>
      <c r="D794" s="20" t="s">
        <v>1035</v>
      </c>
      <c r="E794" s="54" t="s">
        <v>447</v>
      </c>
      <c r="F794" s="54" t="s">
        <v>487</v>
      </c>
      <c r="G794" s="23" t="s">
        <v>40</v>
      </c>
      <c r="H794" s="39" t="s">
        <v>2178</v>
      </c>
      <c r="I794" s="39"/>
      <c r="J794" s="44">
        <v>360</v>
      </c>
      <c r="K794" s="44"/>
      <c r="L794" s="63">
        <v>360</v>
      </c>
      <c r="M794" s="64" t="s">
        <v>1381</v>
      </c>
      <c r="N794" s="2"/>
    </row>
    <row r="795" spans="1:14" ht="14.4">
      <c r="A795" s="42">
        <v>45849</v>
      </c>
      <c r="B795" s="61" t="s">
        <v>2179</v>
      </c>
      <c r="C795" s="39" t="s">
        <v>2180</v>
      </c>
      <c r="D795" s="20" t="s">
        <v>280</v>
      </c>
      <c r="E795" s="54" t="s">
        <v>447</v>
      </c>
      <c r="F795" s="54" t="s">
        <v>22</v>
      </c>
      <c r="G795" s="23" t="s">
        <v>23</v>
      </c>
      <c r="H795" s="39" t="s">
        <v>1519</v>
      </c>
      <c r="I795" s="39" t="s">
        <v>1111</v>
      </c>
      <c r="J795" s="44">
        <v>134.5</v>
      </c>
      <c r="K795" s="44"/>
      <c r="L795" s="63">
        <f>J795*2</f>
        <v>269</v>
      </c>
      <c r="M795" s="64" t="s">
        <v>1381</v>
      </c>
      <c r="N795" s="2"/>
    </row>
    <row r="796" spans="1:14" ht="14.4">
      <c r="A796" s="42">
        <v>45849</v>
      </c>
      <c r="B796" s="61" t="s">
        <v>2181</v>
      </c>
      <c r="C796" s="39" t="s">
        <v>2182</v>
      </c>
      <c r="D796" s="20" t="s">
        <v>502</v>
      </c>
      <c r="E796" s="54" t="s">
        <v>447</v>
      </c>
      <c r="F796" s="54" t="s">
        <v>33</v>
      </c>
      <c r="G796" s="23" t="s">
        <v>23</v>
      </c>
      <c r="H796" s="39" t="s">
        <v>886</v>
      </c>
      <c r="I796" s="39" t="s">
        <v>1085</v>
      </c>
      <c r="J796" s="44">
        <v>80</v>
      </c>
      <c r="K796" s="44"/>
      <c r="L796" s="63">
        <v>80</v>
      </c>
      <c r="M796" s="64" t="s">
        <v>742</v>
      </c>
      <c r="N796" s="2"/>
    </row>
    <row r="797" spans="1:14" ht="14.4">
      <c r="A797" s="42">
        <v>45849</v>
      </c>
      <c r="B797" s="61" t="s">
        <v>2183</v>
      </c>
      <c r="C797" s="39" t="s">
        <v>2184</v>
      </c>
      <c r="D797" s="20" t="s">
        <v>1050</v>
      </c>
      <c r="E797" s="54" t="s">
        <v>447</v>
      </c>
      <c r="F797" s="54" t="s">
        <v>1703</v>
      </c>
      <c r="G797" s="23" t="s">
        <v>40</v>
      </c>
      <c r="H797" s="39" t="s">
        <v>2185</v>
      </c>
      <c r="I797" s="39" t="s">
        <v>2186</v>
      </c>
      <c r="J797" s="44">
        <v>45</v>
      </c>
      <c r="K797" s="44"/>
      <c r="L797" s="63">
        <v>45</v>
      </c>
      <c r="M797" s="64" t="s">
        <v>742</v>
      </c>
      <c r="N797" s="2"/>
    </row>
    <row r="798" spans="1:14" ht="14.4">
      <c r="A798" s="42">
        <v>45849</v>
      </c>
      <c r="B798" s="61" t="s">
        <v>2187</v>
      </c>
      <c r="C798" s="39" t="s">
        <v>2188</v>
      </c>
      <c r="D798" s="20" t="s">
        <v>1254</v>
      </c>
      <c r="E798" s="54" t="s">
        <v>447</v>
      </c>
      <c r="F798" s="54" t="s">
        <v>735</v>
      </c>
      <c r="G798" s="23" t="s">
        <v>23</v>
      </c>
      <c r="H798" s="39" t="s">
        <v>1902</v>
      </c>
      <c r="I798" s="39" t="s">
        <v>1091</v>
      </c>
      <c r="J798" s="44">
        <v>290</v>
      </c>
      <c r="K798" s="44"/>
      <c r="L798" s="63">
        <v>290</v>
      </c>
      <c r="M798" s="64" t="s">
        <v>1381</v>
      </c>
      <c r="N798" s="2"/>
    </row>
    <row r="799" spans="1:14" ht="14.4">
      <c r="A799" s="42">
        <v>45850</v>
      </c>
      <c r="B799" s="61" t="s">
        <v>2189</v>
      </c>
      <c r="C799" s="39" t="s">
        <v>2190</v>
      </c>
      <c r="D799" s="20" t="s">
        <v>1033</v>
      </c>
      <c r="E799" s="54" t="s">
        <v>447</v>
      </c>
      <c r="F799" s="54" t="s">
        <v>463</v>
      </c>
      <c r="G799" s="23" t="s">
        <v>40</v>
      </c>
      <c r="H799" s="39" t="s">
        <v>1821</v>
      </c>
      <c r="I799" s="39"/>
      <c r="J799" s="44">
        <v>221</v>
      </c>
      <c r="K799" s="44"/>
      <c r="L799" s="63">
        <v>221</v>
      </c>
      <c r="M799" s="64" t="s">
        <v>742</v>
      </c>
      <c r="N799" s="2"/>
    </row>
    <row r="800" spans="1:14" ht="14.4">
      <c r="A800" s="42">
        <v>45850</v>
      </c>
      <c r="B800" s="61" t="s">
        <v>2191</v>
      </c>
      <c r="C800" s="39" t="s">
        <v>2175</v>
      </c>
      <c r="D800" s="20" t="s">
        <v>1033</v>
      </c>
      <c r="E800" s="54" t="s">
        <v>447</v>
      </c>
      <c r="F800" s="54" t="s">
        <v>463</v>
      </c>
      <c r="G800" s="23" t="s">
        <v>40</v>
      </c>
      <c r="H800" s="39" t="s">
        <v>2192</v>
      </c>
      <c r="I800" s="39"/>
      <c r="J800" s="44">
        <v>405</v>
      </c>
      <c r="K800" s="44"/>
      <c r="L800" s="63">
        <v>405</v>
      </c>
      <c r="M800" s="64" t="s">
        <v>742</v>
      </c>
      <c r="N800" s="2"/>
    </row>
    <row r="801" spans="1:14" ht="14.4">
      <c r="A801" s="42">
        <v>38545</v>
      </c>
      <c r="B801" s="61" t="s">
        <v>2193</v>
      </c>
      <c r="C801" s="39" t="s">
        <v>2194</v>
      </c>
      <c r="D801" s="20" t="s">
        <v>280</v>
      </c>
      <c r="E801" s="54" t="s">
        <v>447</v>
      </c>
      <c r="F801" s="54" t="s">
        <v>33</v>
      </c>
      <c r="G801" s="23" t="s">
        <v>23</v>
      </c>
      <c r="H801" s="39" t="s">
        <v>886</v>
      </c>
      <c r="I801" s="39" t="s">
        <v>1111</v>
      </c>
      <c r="J801" s="44">
        <v>80</v>
      </c>
      <c r="K801" s="44"/>
      <c r="L801" s="63">
        <v>80</v>
      </c>
      <c r="M801" s="64" t="s">
        <v>742</v>
      </c>
      <c r="N801" s="2"/>
    </row>
    <row r="802" spans="1:14" ht="14.4">
      <c r="A802" s="42">
        <v>45852</v>
      </c>
      <c r="B802" s="61" t="s">
        <v>2195</v>
      </c>
      <c r="C802" s="39" t="s">
        <v>2196</v>
      </c>
      <c r="D802" s="20" t="s">
        <v>280</v>
      </c>
      <c r="E802" s="54" t="s">
        <v>447</v>
      </c>
      <c r="F802" s="54" t="s">
        <v>252</v>
      </c>
      <c r="G802" s="23" t="s">
        <v>23</v>
      </c>
      <c r="H802" s="39" t="s">
        <v>886</v>
      </c>
      <c r="I802" s="39" t="s">
        <v>1111</v>
      </c>
      <c r="J802" s="44">
        <v>60</v>
      </c>
      <c r="K802" s="44"/>
      <c r="L802" s="63">
        <v>60</v>
      </c>
      <c r="M802" s="64" t="s">
        <v>742</v>
      </c>
      <c r="N802" s="2"/>
    </row>
    <row r="803" spans="1:14" ht="14.4">
      <c r="A803" s="42">
        <v>45852</v>
      </c>
      <c r="B803" s="61" t="s">
        <v>2197</v>
      </c>
      <c r="C803" s="39" t="s">
        <v>2198</v>
      </c>
      <c r="D803" s="173" t="s">
        <v>2199</v>
      </c>
      <c r="E803" s="54" t="s">
        <v>447</v>
      </c>
      <c r="F803" s="54" t="s">
        <v>463</v>
      </c>
      <c r="G803" s="23" t="s">
        <v>40</v>
      </c>
      <c r="H803" s="39" t="s">
        <v>40</v>
      </c>
      <c r="I803" s="39"/>
      <c r="J803" s="44">
        <v>530</v>
      </c>
      <c r="K803" s="44"/>
      <c r="L803" s="63">
        <v>530</v>
      </c>
      <c r="M803" s="64" t="s">
        <v>1381</v>
      </c>
      <c r="N803" s="2"/>
    </row>
    <row r="804" spans="1:14" ht="14.4">
      <c r="A804" s="42">
        <v>45853</v>
      </c>
      <c r="B804" s="61" t="s">
        <v>2195</v>
      </c>
      <c r="C804" s="39" t="s">
        <v>2196</v>
      </c>
      <c r="D804" s="20" t="s">
        <v>280</v>
      </c>
      <c r="E804" s="54" t="s">
        <v>447</v>
      </c>
      <c r="F804" s="54" t="s">
        <v>252</v>
      </c>
      <c r="G804" s="23" t="s">
        <v>23</v>
      </c>
      <c r="H804" s="39" t="s">
        <v>758</v>
      </c>
      <c r="I804" s="39" t="s">
        <v>1060</v>
      </c>
      <c r="J804" s="44">
        <v>640</v>
      </c>
      <c r="K804" s="44"/>
      <c r="L804" s="63">
        <v>640</v>
      </c>
      <c r="M804" s="64" t="s">
        <v>742</v>
      </c>
      <c r="N804" s="2"/>
    </row>
    <row r="805" spans="1:14" ht="14.4">
      <c r="A805" s="42">
        <v>45850</v>
      </c>
      <c r="B805" s="61" t="s">
        <v>2140</v>
      </c>
      <c r="C805" s="39" t="s">
        <v>2141</v>
      </c>
      <c r="D805" s="20" t="s">
        <v>1254</v>
      </c>
      <c r="E805" s="54" t="s">
        <v>447</v>
      </c>
      <c r="F805" s="54" t="s">
        <v>252</v>
      </c>
      <c r="G805" s="23" t="s">
        <v>23</v>
      </c>
      <c r="H805" s="39" t="s">
        <v>2142</v>
      </c>
      <c r="I805" s="39" t="s">
        <v>1325</v>
      </c>
      <c r="J805" s="44">
        <v>190</v>
      </c>
      <c r="K805" s="44"/>
      <c r="L805" s="63">
        <v>190</v>
      </c>
      <c r="M805" s="64" t="s">
        <v>1381</v>
      </c>
      <c r="N805" s="2"/>
    </row>
    <row r="806" spans="1:14" ht="14.4">
      <c r="A806" s="42">
        <v>45852</v>
      </c>
      <c r="B806" s="61" t="s">
        <v>2200</v>
      </c>
      <c r="C806" s="39" t="s">
        <v>2201</v>
      </c>
      <c r="D806" s="20" t="s">
        <v>985</v>
      </c>
      <c r="E806" s="54" t="s">
        <v>447</v>
      </c>
      <c r="F806" s="54" t="s">
        <v>253</v>
      </c>
      <c r="G806" s="23" t="s">
        <v>23</v>
      </c>
      <c r="H806" s="39" t="s">
        <v>1519</v>
      </c>
      <c r="I806" s="39" t="s">
        <v>1111</v>
      </c>
      <c r="J806" s="44">
        <v>100</v>
      </c>
      <c r="K806" s="44"/>
      <c r="L806" s="63">
        <v>100</v>
      </c>
      <c r="M806" s="64" t="s">
        <v>1381</v>
      </c>
      <c r="N806" s="2"/>
    </row>
    <row r="807" spans="1:14" ht="14.4">
      <c r="A807" s="42">
        <v>45853</v>
      </c>
      <c r="B807" s="61" t="s">
        <v>2202</v>
      </c>
      <c r="C807" s="39" t="s">
        <v>2203</v>
      </c>
      <c r="D807" s="20" t="s">
        <v>985</v>
      </c>
      <c r="E807" s="54" t="s">
        <v>519</v>
      </c>
      <c r="F807" s="54" t="s">
        <v>283</v>
      </c>
      <c r="G807" s="23" t="s">
        <v>23</v>
      </c>
      <c r="H807" s="39" t="s">
        <v>2204</v>
      </c>
      <c r="I807" s="39" t="s">
        <v>1121</v>
      </c>
      <c r="J807" s="44">
        <v>120</v>
      </c>
      <c r="K807" s="44">
        <f>L807-J807</f>
        <v>399</v>
      </c>
      <c r="L807" s="63">
        <v>519</v>
      </c>
      <c r="M807" s="64" t="s">
        <v>742</v>
      </c>
      <c r="N807" s="2"/>
    </row>
    <row r="808" spans="1:14" ht="14.4">
      <c r="A808" s="42">
        <v>45853</v>
      </c>
      <c r="B808" s="61" t="s">
        <v>2205</v>
      </c>
      <c r="C808" s="39" t="s">
        <v>2206</v>
      </c>
      <c r="D808" s="20" t="s">
        <v>446</v>
      </c>
      <c r="E808" s="54" t="s">
        <v>447</v>
      </c>
      <c r="F808" s="54" t="s">
        <v>252</v>
      </c>
      <c r="G808" s="23" t="s">
        <v>23</v>
      </c>
      <c r="H808" s="39" t="s">
        <v>919</v>
      </c>
      <c r="I808" s="39" t="s">
        <v>1091</v>
      </c>
      <c r="J808" s="44">
        <v>80</v>
      </c>
      <c r="K808" s="44"/>
      <c r="L808" s="63">
        <v>80</v>
      </c>
      <c r="M808" s="64" t="s">
        <v>2207</v>
      </c>
      <c r="N808" s="2"/>
    </row>
    <row r="809" spans="1:14" ht="14.4">
      <c r="A809" s="42">
        <v>45853</v>
      </c>
      <c r="B809" s="61" t="s">
        <v>2208</v>
      </c>
      <c r="C809" s="39" t="s">
        <v>2209</v>
      </c>
      <c r="D809" s="20" t="s">
        <v>280</v>
      </c>
      <c r="E809" s="54" t="s">
        <v>447</v>
      </c>
      <c r="F809" s="54" t="s">
        <v>253</v>
      </c>
      <c r="G809" s="23" t="s">
        <v>23</v>
      </c>
      <c r="H809" s="39" t="s">
        <v>2204</v>
      </c>
      <c r="I809" s="39" t="s">
        <v>1111</v>
      </c>
      <c r="J809" s="44">
        <v>270</v>
      </c>
      <c r="K809" s="44"/>
      <c r="L809" s="63">
        <v>270</v>
      </c>
      <c r="M809" s="64" t="s">
        <v>2207</v>
      </c>
      <c r="N809" s="2"/>
    </row>
    <row r="810" spans="1:14" ht="14.4">
      <c r="A810" s="42">
        <v>45853</v>
      </c>
      <c r="B810" s="61" t="s">
        <v>2210</v>
      </c>
      <c r="C810" s="39" t="s">
        <v>2211</v>
      </c>
      <c r="D810" s="20" t="s">
        <v>280</v>
      </c>
      <c r="E810" s="54" t="s">
        <v>447</v>
      </c>
      <c r="F810" s="54" t="s">
        <v>252</v>
      </c>
      <c r="G810" s="23" t="s">
        <v>23</v>
      </c>
      <c r="H810" s="39" t="s">
        <v>919</v>
      </c>
      <c r="I810" s="39" t="s">
        <v>1111</v>
      </c>
      <c r="J810" s="44">
        <v>80</v>
      </c>
      <c r="K810" s="44"/>
      <c r="L810" s="63">
        <v>80</v>
      </c>
      <c r="M810" s="64" t="s">
        <v>2207</v>
      </c>
      <c r="N810" s="2"/>
    </row>
    <row r="811" spans="1:14" ht="14.4">
      <c r="A811" s="42">
        <v>45853</v>
      </c>
      <c r="B811" s="61" t="s">
        <v>2212</v>
      </c>
      <c r="C811" s="39" t="s">
        <v>2135</v>
      </c>
      <c r="D811" s="20" t="s">
        <v>1035</v>
      </c>
      <c r="E811" s="54" t="s">
        <v>447</v>
      </c>
      <c r="F811" s="54" t="s">
        <v>463</v>
      </c>
      <c r="G811" s="23" t="s">
        <v>40</v>
      </c>
      <c r="H811" s="39" t="s">
        <v>484</v>
      </c>
      <c r="I811" s="39"/>
      <c r="J811" s="44">
        <v>130</v>
      </c>
      <c r="K811" s="44"/>
      <c r="L811" s="63">
        <v>130</v>
      </c>
      <c r="M811" s="64" t="s">
        <v>742</v>
      </c>
      <c r="N811" s="2"/>
    </row>
    <row r="812" spans="1:14" ht="14.4">
      <c r="A812" s="42">
        <v>45854</v>
      </c>
      <c r="B812" s="61" t="s">
        <v>2213</v>
      </c>
      <c r="C812" s="39" t="s">
        <v>2214</v>
      </c>
      <c r="D812" s="20" t="s">
        <v>1035</v>
      </c>
      <c r="E812" s="54" t="s">
        <v>447</v>
      </c>
      <c r="F812" s="54" t="s">
        <v>463</v>
      </c>
      <c r="G812" s="23" t="s">
        <v>40</v>
      </c>
      <c r="H812" s="39" t="s">
        <v>2215</v>
      </c>
      <c r="I812" s="39" t="s">
        <v>1194</v>
      </c>
      <c r="J812" s="44">
        <v>50</v>
      </c>
      <c r="K812" s="44"/>
      <c r="L812" s="63">
        <v>50</v>
      </c>
      <c r="M812" s="64" t="s">
        <v>2216</v>
      </c>
      <c r="N812" s="2"/>
    </row>
    <row r="813" spans="1:14" ht="14.4">
      <c r="A813" s="42">
        <v>45854</v>
      </c>
      <c r="B813" s="61" t="s">
        <v>2217</v>
      </c>
      <c r="C813" s="39" t="s">
        <v>2218</v>
      </c>
      <c r="D813" s="20" t="s">
        <v>446</v>
      </c>
      <c r="E813" s="54" t="s">
        <v>447</v>
      </c>
      <c r="F813" s="54" t="s">
        <v>252</v>
      </c>
      <c r="G813" s="23" t="s">
        <v>23</v>
      </c>
      <c r="H813" s="39" t="s">
        <v>919</v>
      </c>
      <c r="I813" s="39" t="s">
        <v>1194</v>
      </c>
      <c r="J813" s="44">
        <v>80</v>
      </c>
      <c r="K813" s="44"/>
      <c r="L813" s="63">
        <v>80</v>
      </c>
      <c r="M813" s="64" t="s">
        <v>2207</v>
      </c>
      <c r="N813" s="2"/>
    </row>
    <row r="814" spans="1:14" ht="14.4">
      <c r="A814" s="42">
        <v>45854</v>
      </c>
      <c r="B814" s="61" t="s">
        <v>2219</v>
      </c>
      <c r="C814" s="39" t="s">
        <v>2220</v>
      </c>
      <c r="D814" s="20" t="s">
        <v>280</v>
      </c>
      <c r="E814" s="54" t="s">
        <v>447</v>
      </c>
      <c r="F814" s="54" t="s">
        <v>252</v>
      </c>
      <c r="G814" s="23" t="s">
        <v>23</v>
      </c>
      <c r="H814" s="39" t="s">
        <v>789</v>
      </c>
      <c r="I814" s="39" t="s">
        <v>1085</v>
      </c>
      <c r="J814" s="44">
        <v>80</v>
      </c>
      <c r="K814" s="44"/>
      <c r="L814" s="63">
        <v>80</v>
      </c>
      <c r="M814" s="64" t="s">
        <v>2207</v>
      </c>
      <c r="N814" s="2"/>
    </row>
    <row r="815" spans="1:14" ht="14.4">
      <c r="A815" s="42">
        <v>45855</v>
      </c>
      <c r="B815" s="61" t="s">
        <v>2221</v>
      </c>
      <c r="C815" s="39" t="s">
        <v>2222</v>
      </c>
      <c r="D815" s="20" t="s">
        <v>974</v>
      </c>
      <c r="E815" s="54" t="s">
        <v>447</v>
      </c>
      <c r="F815" s="54" t="s">
        <v>463</v>
      </c>
      <c r="G815" s="23" t="s">
        <v>40</v>
      </c>
      <c r="H815" s="39" t="s">
        <v>484</v>
      </c>
      <c r="I815" s="39"/>
      <c r="J815" s="44">
        <v>160</v>
      </c>
      <c r="K815" s="44"/>
      <c r="L815" s="63">
        <v>160</v>
      </c>
      <c r="M815" s="64" t="s">
        <v>742</v>
      </c>
      <c r="N815" s="2"/>
    </row>
    <row r="816" spans="1:14" ht="14.4">
      <c r="A816" s="42">
        <v>45855</v>
      </c>
      <c r="B816" s="61" t="s">
        <v>2223</v>
      </c>
      <c r="C816" s="39" t="s">
        <v>2224</v>
      </c>
      <c r="D816" s="20" t="s">
        <v>1033</v>
      </c>
      <c r="E816" s="54" t="s">
        <v>447</v>
      </c>
      <c r="F816" s="54" t="s">
        <v>487</v>
      </c>
      <c r="G816" s="23" t="s">
        <v>40</v>
      </c>
      <c r="H816" s="170" t="s">
        <v>2225</v>
      </c>
      <c r="I816" s="39"/>
      <c r="J816" s="44">
        <v>2920</v>
      </c>
      <c r="K816" s="44"/>
      <c r="L816" s="63">
        <v>2920</v>
      </c>
      <c r="M816" s="64" t="s">
        <v>742</v>
      </c>
      <c r="N816" s="2"/>
    </row>
    <row r="817" spans="1:14" ht="14.4">
      <c r="A817" s="42">
        <v>45855</v>
      </c>
      <c r="B817" s="61" t="s">
        <v>963</v>
      </c>
      <c r="C817" s="39" t="s">
        <v>660</v>
      </c>
      <c r="D817" s="20" t="s">
        <v>1033</v>
      </c>
      <c r="E817" s="54" t="s">
        <v>447</v>
      </c>
      <c r="F817" s="54" t="s">
        <v>487</v>
      </c>
      <c r="G817" s="23" t="s">
        <v>40</v>
      </c>
      <c r="H817" s="39" t="s">
        <v>2226</v>
      </c>
      <c r="I817" s="39"/>
      <c r="J817" s="44">
        <v>7050</v>
      </c>
      <c r="K817" s="44"/>
      <c r="L817" s="63">
        <v>7050</v>
      </c>
      <c r="M817" s="64" t="s">
        <v>480</v>
      </c>
      <c r="N817" s="2"/>
    </row>
    <row r="818" spans="1:14" ht="14.4">
      <c r="A818" s="42">
        <v>45855</v>
      </c>
      <c r="B818" s="61" t="s">
        <v>2107</v>
      </c>
      <c r="C818" s="39" t="s">
        <v>2227</v>
      </c>
      <c r="D818" s="20" t="s">
        <v>974</v>
      </c>
      <c r="E818" s="54" t="s">
        <v>447</v>
      </c>
      <c r="F818" s="54" t="s">
        <v>1703</v>
      </c>
      <c r="G818" s="23" t="s">
        <v>40</v>
      </c>
      <c r="H818" s="39" t="s">
        <v>2228</v>
      </c>
      <c r="I818" s="39" t="s">
        <v>1325</v>
      </c>
      <c r="J818" s="44">
        <v>140</v>
      </c>
      <c r="K818" s="44"/>
      <c r="L818" s="63">
        <v>140</v>
      </c>
      <c r="M818" s="64" t="s">
        <v>2207</v>
      </c>
      <c r="N818" s="2"/>
    </row>
    <row r="819" spans="1:14" ht="14.4">
      <c r="A819" s="42">
        <v>45855</v>
      </c>
      <c r="B819" s="61" t="s">
        <v>2229</v>
      </c>
      <c r="C819" s="39" t="s">
        <v>2230</v>
      </c>
      <c r="D819" s="20" t="s">
        <v>280</v>
      </c>
      <c r="E819" s="54" t="s">
        <v>447</v>
      </c>
      <c r="F819" s="54" t="s">
        <v>252</v>
      </c>
      <c r="G819" s="23" t="s">
        <v>23</v>
      </c>
      <c r="H819" s="39" t="s">
        <v>2231</v>
      </c>
      <c r="I819" s="39" t="s">
        <v>1126</v>
      </c>
      <c r="J819" s="44">
        <v>400</v>
      </c>
      <c r="K819" s="44"/>
      <c r="L819" s="63">
        <v>400</v>
      </c>
      <c r="M819" s="64" t="s">
        <v>2207</v>
      </c>
      <c r="N819" s="2"/>
    </row>
    <row r="820" spans="1:14" ht="14.4">
      <c r="A820" s="42">
        <v>45855</v>
      </c>
      <c r="B820" s="61" t="s">
        <v>2232</v>
      </c>
      <c r="C820" s="39" t="s">
        <v>2233</v>
      </c>
      <c r="D820" s="20" t="s">
        <v>446</v>
      </c>
      <c r="E820" s="54" t="s">
        <v>447</v>
      </c>
      <c r="F820" s="54" t="s">
        <v>252</v>
      </c>
      <c r="G820" s="23" t="s">
        <v>23</v>
      </c>
      <c r="H820" s="39" t="s">
        <v>1889</v>
      </c>
      <c r="I820" s="39" t="s">
        <v>1105</v>
      </c>
      <c r="J820" s="44">
        <v>90</v>
      </c>
      <c r="K820" s="44"/>
      <c r="L820" s="63">
        <v>90</v>
      </c>
      <c r="M820" s="64" t="s">
        <v>2216</v>
      </c>
      <c r="N820" s="2"/>
    </row>
    <row r="821" spans="1:14" ht="14.4">
      <c r="A821" s="42">
        <v>45855</v>
      </c>
      <c r="B821" s="131" t="s">
        <v>2234</v>
      </c>
      <c r="C821" s="39" t="s">
        <v>2196</v>
      </c>
      <c r="D821" s="20" t="s">
        <v>280</v>
      </c>
      <c r="E821" s="54" t="s">
        <v>447</v>
      </c>
      <c r="F821" s="54" t="s">
        <v>253</v>
      </c>
      <c r="G821" s="23" t="s">
        <v>23</v>
      </c>
      <c r="H821" s="39" t="s">
        <v>2235</v>
      </c>
      <c r="I821" s="39" t="s">
        <v>1060</v>
      </c>
      <c r="J821" s="44">
        <v>123</v>
      </c>
      <c r="K821" s="44">
        <v>123</v>
      </c>
      <c r="L821" s="63">
        <v>246</v>
      </c>
      <c r="M821" s="64" t="s">
        <v>742</v>
      </c>
      <c r="N821" s="2"/>
    </row>
    <row r="822" spans="1:14" ht="14.4">
      <c r="A822" s="42">
        <v>45856</v>
      </c>
      <c r="B822" s="61" t="s">
        <v>2236</v>
      </c>
      <c r="C822" s="39" t="s">
        <v>2237</v>
      </c>
      <c r="D822" s="20" t="s">
        <v>1035</v>
      </c>
      <c r="E822" s="54" t="s">
        <v>519</v>
      </c>
      <c r="F822" s="54" t="s">
        <v>463</v>
      </c>
      <c r="G822" s="23" t="s">
        <v>40</v>
      </c>
      <c r="H822" s="39" t="s">
        <v>1677</v>
      </c>
      <c r="I822" s="39"/>
      <c r="J822" s="44">
        <v>170</v>
      </c>
      <c r="K822" s="44"/>
      <c r="L822" s="63">
        <v>170</v>
      </c>
      <c r="M822" s="64" t="s">
        <v>742</v>
      </c>
      <c r="N822" s="2"/>
    </row>
    <row r="823" spans="1:14" ht="14.4">
      <c r="A823" s="42">
        <v>45856</v>
      </c>
      <c r="B823" s="61" t="s">
        <v>2238</v>
      </c>
      <c r="C823" s="39" t="s">
        <v>2175</v>
      </c>
      <c r="D823" s="20" t="s">
        <v>1033</v>
      </c>
      <c r="E823" s="54" t="s">
        <v>519</v>
      </c>
      <c r="F823" s="54" t="s">
        <v>463</v>
      </c>
      <c r="G823" s="23" t="s">
        <v>40</v>
      </c>
      <c r="H823" s="39" t="s">
        <v>1677</v>
      </c>
      <c r="I823" s="39"/>
      <c r="J823" s="44">
        <v>182.5</v>
      </c>
      <c r="K823" s="44"/>
      <c r="L823" s="63">
        <v>182.5</v>
      </c>
      <c r="M823" s="64" t="s">
        <v>480</v>
      </c>
      <c r="N823" s="2"/>
    </row>
    <row r="824" spans="1:14" ht="14.4">
      <c r="A824" s="42">
        <v>45856</v>
      </c>
      <c r="B824" s="61" t="s">
        <v>2239</v>
      </c>
      <c r="C824" s="39" t="s">
        <v>2240</v>
      </c>
      <c r="D824" s="20" t="s">
        <v>280</v>
      </c>
      <c r="E824" s="54" t="s">
        <v>447</v>
      </c>
      <c r="F824" s="54" t="s">
        <v>252</v>
      </c>
      <c r="G824" s="23" t="s">
        <v>23</v>
      </c>
      <c r="H824" s="39" t="s">
        <v>2241</v>
      </c>
      <c r="I824" s="39" t="s">
        <v>1159</v>
      </c>
      <c r="J824" s="44">
        <v>750</v>
      </c>
      <c r="K824" s="44"/>
      <c r="L824" s="63">
        <v>750</v>
      </c>
      <c r="M824" s="64" t="s">
        <v>2207</v>
      </c>
      <c r="N824" s="2"/>
    </row>
    <row r="825" spans="1:14" ht="14.4">
      <c r="A825" s="42">
        <v>45856</v>
      </c>
      <c r="B825" s="61" t="s">
        <v>2242</v>
      </c>
      <c r="C825" s="39" t="s">
        <v>2243</v>
      </c>
      <c r="D825" s="20" t="s">
        <v>1254</v>
      </c>
      <c r="E825" s="54" t="s">
        <v>447</v>
      </c>
      <c r="F825" s="54" t="s">
        <v>283</v>
      </c>
      <c r="G825" s="23" t="s">
        <v>23</v>
      </c>
      <c r="H825" s="39" t="s">
        <v>1889</v>
      </c>
      <c r="I825" s="39" t="s">
        <v>1954</v>
      </c>
      <c r="J825" s="44">
        <v>85</v>
      </c>
      <c r="K825" s="44"/>
      <c r="L825" s="63">
        <v>85</v>
      </c>
      <c r="M825" s="64" t="s">
        <v>2216</v>
      </c>
      <c r="N825" s="2"/>
    </row>
    <row r="826" spans="1:14" ht="14.4">
      <c r="A826" s="42">
        <v>45856</v>
      </c>
      <c r="B826" s="61" t="s">
        <v>2244</v>
      </c>
      <c r="C826" s="39" t="s">
        <v>2245</v>
      </c>
      <c r="D826" s="20" t="s">
        <v>985</v>
      </c>
      <c r="E826" s="54" t="s">
        <v>447</v>
      </c>
      <c r="F826" s="54" t="s">
        <v>283</v>
      </c>
      <c r="G826" s="23" t="s">
        <v>23</v>
      </c>
      <c r="H826" s="39" t="s">
        <v>2246</v>
      </c>
      <c r="I826" s="39" t="s">
        <v>1220</v>
      </c>
      <c r="J826" s="44">
        <v>210</v>
      </c>
      <c r="K826" s="44"/>
      <c r="L826" s="63">
        <v>210</v>
      </c>
      <c r="M826" s="64" t="s">
        <v>2207</v>
      </c>
      <c r="N826" s="2"/>
    </row>
    <row r="827" spans="1:14" ht="14.4">
      <c r="A827" s="42">
        <v>45856</v>
      </c>
      <c r="B827" s="61" t="s">
        <v>2247</v>
      </c>
      <c r="C827" s="39" t="s">
        <v>2248</v>
      </c>
      <c r="D827" s="20" t="s">
        <v>974</v>
      </c>
      <c r="E827" s="54" t="s">
        <v>447</v>
      </c>
      <c r="F827" s="54" t="s">
        <v>463</v>
      </c>
      <c r="G827" s="23" t="s">
        <v>40</v>
      </c>
      <c r="H827" s="39" t="s">
        <v>2249</v>
      </c>
      <c r="I827" s="39" t="s">
        <v>1111</v>
      </c>
      <c r="J827" s="44">
        <v>208</v>
      </c>
      <c r="K827" s="44"/>
      <c r="L827" s="63">
        <v>208</v>
      </c>
      <c r="M827" s="64" t="s">
        <v>2207</v>
      </c>
      <c r="N827" s="2"/>
    </row>
    <row r="828" spans="1:14" ht="14.4">
      <c r="A828" s="42">
        <v>45856</v>
      </c>
      <c r="B828" s="61"/>
      <c r="C828" s="39" t="s">
        <v>2250</v>
      </c>
      <c r="D828" s="20" t="s">
        <v>27</v>
      </c>
      <c r="E828" s="54" t="s">
        <v>519</v>
      </c>
      <c r="F828" s="54" t="s">
        <v>27</v>
      </c>
      <c r="G828" s="23" t="s">
        <v>27</v>
      </c>
      <c r="H828" s="39" t="s">
        <v>344</v>
      </c>
      <c r="I828" s="39"/>
      <c r="J828" s="44">
        <v>290</v>
      </c>
      <c r="K828" s="44"/>
      <c r="L828" s="63">
        <v>290</v>
      </c>
      <c r="M828" s="64" t="s">
        <v>2216</v>
      </c>
      <c r="N828" s="2"/>
    </row>
    <row r="829" spans="1:14" ht="14.4">
      <c r="A829" s="42">
        <v>45857</v>
      </c>
      <c r="B829" s="61" t="s">
        <v>2251</v>
      </c>
      <c r="C829" s="39" t="s">
        <v>2252</v>
      </c>
      <c r="D829" s="20" t="s">
        <v>280</v>
      </c>
      <c r="E829" s="54" t="s">
        <v>447</v>
      </c>
      <c r="F829" s="54" t="s">
        <v>33</v>
      </c>
      <c r="G829" s="23" t="s">
        <v>23</v>
      </c>
      <c r="H829" s="39" t="s">
        <v>869</v>
      </c>
      <c r="I829" s="39" t="s">
        <v>1291</v>
      </c>
      <c r="J829" s="44">
        <v>90</v>
      </c>
      <c r="K829" s="44"/>
      <c r="L829" s="63">
        <v>90</v>
      </c>
      <c r="M829" s="64" t="s">
        <v>2253</v>
      </c>
      <c r="N829" s="2"/>
    </row>
    <row r="830" spans="1:14" ht="14.4">
      <c r="A830" s="42">
        <v>45857</v>
      </c>
      <c r="B830" s="61" t="s">
        <v>2254</v>
      </c>
      <c r="C830" s="39" t="s">
        <v>2255</v>
      </c>
      <c r="D830" s="20" t="s">
        <v>280</v>
      </c>
      <c r="E830" s="54" t="s">
        <v>447</v>
      </c>
      <c r="F830" s="54" t="s">
        <v>33</v>
      </c>
      <c r="G830" s="23" t="s">
        <v>23</v>
      </c>
      <c r="H830" s="39" t="s">
        <v>919</v>
      </c>
      <c r="I830" s="39" t="s">
        <v>1111</v>
      </c>
      <c r="J830" s="44">
        <v>40</v>
      </c>
      <c r="K830" s="44"/>
      <c r="L830" s="63">
        <v>40</v>
      </c>
      <c r="M830" s="64" t="s">
        <v>2207</v>
      </c>
      <c r="N830" s="2"/>
    </row>
    <row r="831" spans="1:14" ht="14.4">
      <c r="A831" s="42">
        <v>45859</v>
      </c>
      <c r="B831" s="61" t="s">
        <v>2256</v>
      </c>
      <c r="C831" s="39" t="s">
        <v>2257</v>
      </c>
      <c r="D831" s="20" t="s">
        <v>1033</v>
      </c>
      <c r="E831" s="54" t="s">
        <v>447</v>
      </c>
      <c r="F831" s="54" t="s">
        <v>463</v>
      </c>
      <c r="G831" s="23" t="s">
        <v>40</v>
      </c>
      <c r="H831" s="39" t="s">
        <v>1677</v>
      </c>
      <c r="I831" s="39"/>
      <c r="J831" s="44">
        <f t="shared" ref="J831:J832" si="4">257.6/2</f>
        <v>128.80000000000001</v>
      </c>
      <c r="K831" s="44"/>
      <c r="L831" s="44">
        <f t="shared" ref="L831:L832" si="5">257.6/2</f>
        <v>128.80000000000001</v>
      </c>
      <c r="M831" s="64" t="s">
        <v>742</v>
      </c>
      <c r="N831" s="2"/>
    </row>
    <row r="832" spans="1:14" ht="14.4">
      <c r="A832" s="42">
        <v>45859</v>
      </c>
      <c r="B832" s="61" t="s">
        <v>2256</v>
      </c>
      <c r="C832" s="39" t="s">
        <v>2257</v>
      </c>
      <c r="D832" s="20" t="s">
        <v>1033</v>
      </c>
      <c r="E832" s="54" t="s">
        <v>447</v>
      </c>
      <c r="F832" s="54" t="s">
        <v>463</v>
      </c>
      <c r="G832" s="23" t="s">
        <v>40</v>
      </c>
      <c r="H832" s="39" t="s">
        <v>1677</v>
      </c>
      <c r="I832" s="39"/>
      <c r="J832" s="44">
        <f t="shared" si="4"/>
        <v>128.80000000000001</v>
      </c>
      <c r="K832" s="44"/>
      <c r="L832" s="44">
        <f t="shared" si="5"/>
        <v>128.80000000000001</v>
      </c>
      <c r="M832" s="64" t="s">
        <v>2216</v>
      </c>
      <c r="N832" s="2"/>
    </row>
    <row r="833" spans="1:14" ht="14.4">
      <c r="A833" s="42">
        <v>45859</v>
      </c>
      <c r="B833" s="61" t="s">
        <v>2258</v>
      </c>
      <c r="C833" s="39" t="s">
        <v>2259</v>
      </c>
      <c r="D833" s="20" t="s">
        <v>446</v>
      </c>
      <c r="E833" s="54" t="s">
        <v>447</v>
      </c>
      <c r="F833" s="54" t="s">
        <v>252</v>
      </c>
      <c r="G833" s="23" t="s">
        <v>23</v>
      </c>
      <c r="H833" s="39" t="s">
        <v>2260</v>
      </c>
      <c r="I833" s="39" t="s">
        <v>1220</v>
      </c>
      <c r="J833" s="44">
        <v>645</v>
      </c>
      <c r="K833" s="44"/>
      <c r="L833" s="63">
        <v>645</v>
      </c>
      <c r="M833" s="64" t="s">
        <v>742</v>
      </c>
      <c r="N833" s="2"/>
    </row>
    <row r="834" spans="1:14" ht="14.4">
      <c r="A834" s="42">
        <v>45859</v>
      </c>
      <c r="B834" s="61" t="s">
        <v>1146</v>
      </c>
      <c r="C834" s="39" t="s">
        <v>2261</v>
      </c>
      <c r="D834" s="20" t="s">
        <v>1033</v>
      </c>
      <c r="E834" s="54" t="s">
        <v>447</v>
      </c>
      <c r="F834" s="54" t="s">
        <v>463</v>
      </c>
      <c r="G834" s="23" t="s">
        <v>40</v>
      </c>
      <c r="H834" s="170" t="s">
        <v>672</v>
      </c>
      <c r="I834" s="39"/>
      <c r="J834" s="44">
        <f t="shared" ref="J834:J835" si="6">275/2</f>
        <v>137.5</v>
      </c>
      <c r="K834" s="44"/>
      <c r="L834" s="63">
        <f t="shared" ref="L834:L835" si="7">275/2</f>
        <v>137.5</v>
      </c>
      <c r="M834" s="64" t="s">
        <v>742</v>
      </c>
      <c r="N834" s="2"/>
    </row>
    <row r="835" spans="1:14" ht="14.4">
      <c r="A835" s="42">
        <v>45859</v>
      </c>
      <c r="B835" s="61" t="s">
        <v>1146</v>
      </c>
      <c r="C835" s="39" t="s">
        <v>2261</v>
      </c>
      <c r="D835" s="20" t="s">
        <v>1033</v>
      </c>
      <c r="E835" s="54" t="s">
        <v>447</v>
      </c>
      <c r="F835" s="54" t="s">
        <v>463</v>
      </c>
      <c r="G835" s="23" t="s">
        <v>40</v>
      </c>
      <c r="H835" s="170" t="s">
        <v>672</v>
      </c>
      <c r="I835" s="39"/>
      <c r="J835" s="44">
        <f t="shared" si="6"/>
        <v>137.5</v>
      </c>
      <c r="K835" s="44"/>
      <c r="L835" s="63">
        <f t="shared" si="7"/>
        <v>137.5</v>
      </c>
      <c r="M835" s="64" t="s">
        <v>742</v>
      </c>
      <c r="N835" s="2"/>
    </row>
    <row r="836" spans="1:14" ht="14.4">
      <c r="A836" s="42">
        <v>45859</v>
      </c>
      <c r="B836" s="61" t="s">
        <v>2247</v>
      </c>
      <c r="C836" s="39" t="s">
        <v>2248</v>
      </c>
      <c r="D836" s="20" t="s">
        <v>1033</v>
      </c>
      <c r="E836" s="54" t="s">
        <v>447</v>
      </c>
      <c r="F836" s="54" t="s">
        <v>487</v>
      </c>
      <c r="G836" s="23" t="s">
        <v>40</v>
      </c>
      <c r="H836" s="39" t="s">
        <v>2262</v>
      </c>
      <c r="I836" s="39"/>
      <c r="J836" s="44">
        <v>312</v>
      </c>
      <c r="K836" s="44"/>
      <c r="L836" s="63">
        <v>312</v>
      </c>
      <c r="M836" s="64" t="s">
        <v>2207</v>
      </c>
      <c r="N836" s="2"/>
    </row>
    <row r="837" spans="1:14" ht="14.4">
      <c r="A837" s="42">
        <v>45860</v>
      </c>
      <c r="B837" s="61" t="s">
        <v>1146</v>
      </c>
      <c r="C837" s="39" t="s">
        <v>2263</v>
      </c>
      <c r="D837" s="20" t="s">
        <v>1033</v>
      </c>
      <c r="E837" s="54" t="s">
        <v>447</v>
      </c>
      <c r="F837" s="54" t="s">
        <v>463</v>
      </c>
      <c r="G837" s="23" t="s">
        <v>40</v>
      </c>
      <c r="H837" s="39" t="s">
        <v>672</v>
      </c>
      <c r="I837" s="39"/>
      <c r="J837" s="44">
        <v>275</v>
      </c>
      <c r="K837" s="44"/>
      <c r="L837" s="63">
        <v>275</v>
      </c>
      <c r="M837" s="64" t="s">
        <v>1381</v>
      </c>
      <c r="N837" s="2"/>
    </row>
    <row r="838" spans="1:14" ht="14.4">
      <c r="A838" s="42">
        <v>45860</v>
      </c>
      <c r="B838" s="61" t="s">
        <v>2264</v>
      </c>
      <c r="C838" s="39" t="s">
        <v>2265</v>
      </c>
      <c r="D838" s="20" t="s">
        <v>1254</v>
      </c>
      <c r="E838" s="54" t="s">
        <v>447</v>
      </c>
      <c r="F838" s="54" t="s">
        <v>33</v>
      </c>
      <c r="G838" s="23" t="s">
        <v>23</v>
      </c>
      <c r="H838" s="39" t="s">
        <v>1929</v>
      </c>
      <c r="I838" s="39" t="s">
        <v>1060</v>
      </c>
      <c r="J838" s="44">
        <v>125</v>
      </c>
      <c r="K838" s="44">
        <v>200</v>
      </c>
      <c r="L838" s="63">
        <v>325</v>
      </c>
      <c r="M838" s="64" t="s">
        <v>2216</v>
      </c>
      <c r="N838" s="2"/>
    </row>
    <row r="839" spans="1:14" ht="14.4">
      <c r="A839" s="42">
        <v>45860</v>
      </c>
      <c r="B839" s="61" t="s">
        <v>2266</v>
      </c>
      <c r="C839" s="39" t="s">
        <v>2267</v>
      </c>
      <c r="D839" s="20" t="s">
        <v>1035</v>
      </c>
      <c r="E839" s="54" t="s">
        <v>447</v>
      </c>
      <c r="F839" s="54" t="s">
        <v>487</v>
      </c>
      <c r="G839" s="23" t="s">
        <v>40</v>
      </c>
      <c r="H839" s="39" t="s">
        <v>2268</v>
      </c>
      <c r="I839" s="39"/>
      <c r="J839" s="44">
        <v>740</v>
      </c>
      <c r="K839" s="44"/>
      <c r="L839" s="63">
        <v>740</v>
      </c>
      <c r="M839" s="64" t="s">
        <v>1381</v>
      </c>
      <c r="N839" s="2"/>
    </row>
    <row r="840" spans="1:14" ht="14.4">
      <c r="A840" s="42">
        <v>45860</v>
      </c>
      <c r="B840" s="61" t="s">
        <v>2258</v>
      </c>
      <c r="C840" s="39" t="s">
        <v>2259</v>
      </c>
      <c r="D840" s="20" t="s">
        <v>446</v>
      </c>
      <c r="E840" s="54" t="s">
        <v>447</v>
      </c>
      <c r="F840" s="54" t="s">
        <v>252</v>
      </c>
      <c r="G840" s="23" t="s">
        <v>23</v>
      </c>
      <c r="H840" s="39" t="s">
        <v>2269</v>
      </c>
      <c r="I840" s="39" t="s">
        <v>1220</v>
      </c>
      <c r="J840" s="44">
        <v>645</v>
      </c>
      <c r="K840" s="44"/>
      <c r="L840" s="63">
        <v>645</v>
      </c>
      <c r="M840" s="64" t="s">
        <v>742</v>
      </c>
      <c r="N840" s="2"/>
    </row>
    <row r="841" spans="1:14" ht="14.4">
      <c r="A841" s="42">
        <v>45860</v>
      </c>
      <c r="B841" s="61" t="s">
        <v>2270</v>
      </c>
      <c r="C841" s="174" t="s">
        <v>2271</v>
      </c>
      <c r="D841" s="20" t="s">
        <v>502</v>
      </c>
      <c r="E841" s="54" t="s">
        <v>447</v>
      </c>
      <c r="F841" s="54" t="s">
        <v>252</v>
      </c>
      <c r="G841" s="23" t="s">
        <v>23</v>
      </c>
      <c r="H841" s="39" t="s">
        <v>2272</v>
      </c>
      <c r="I841" s="39" t="s">
        <v>1220</v>
      </c>
      <c r="J841" s="44">
        <v>80</v>
      </c>
      <c r="K841" s="44"/>
      <c r="L841" s="63">
        <v>80</v>
      </c>
      <c r="M841" s="64" t="s">
        <v>2207</v>
      </c>
      <c r="N841" s="2"/>
    </row>
    <row r="842" spans="1:14" ht="14.4">
      <c r="A842" s="42">
        <v>45862</v>
      </c>
      <c r="B842" s="61" t="s">
        <v>2273</v>
      </c>
      <c r="C842" s="39" t="s">
        <v>2274</v>
      </c>
      <c r="D842" s="20" t="s">
        <v>446</v>
      </c>
      <c r="E842" s="54" t="s">
        <v>447</v>
      </c>
      <c r="F842" s="54" t="s">
        <v>33</v>
      </c>
      <c r="G842" s="23" t="s">
        <v>23</v>
      </c>
      <c r="H842" s="39" t="s">
        <v>2272</v>
      </c>
      <c r="I842" s="39" t="s">
        <v>1220</v>
      </c>
      <c r="J842" s="44">
        <v>50</v>
      </c>
      <c r="K842" s="44"/>
      <c r="L842" s="63">
        <v>50</v>
      </c>
      <c r="M842" s="64" t="s">
        <v>1381</v>
      </c>
      <c r="N842" s="2"/>
    </row>
    <row r="843" spans="1:14" ht="14.4">
      <c r="A843" s="42">
        <v>45862</v>
      </c>
      <c r="B843" s="61" t="s">
        <v>2275</v>
      </c>
      <c r="C843" s="39" t="s">
        <v>2276</v>
      </c>
      <c r="D843" s="20" t="s">
        <v>992</v>
      </c>
      <c r="E843" s="54" t="s">
        <v>447</v>
      </c>
      <c r="F843" s="54" t="s">
        <v>56</v>
      </c>
      <c r="G843" s="23" t="s">
        <v>56</v>
      </c>
      <c r="H843" s="39" t="s">
        <v>2277</v>
      </c>
      <c r="I843" s="39" t="s">
        <v>1220</v>
      </c>
      <c r="J843" s="44">
        <v>300</v>
      </c>
      <c r="K843" s="44">
        <v>300</v>
      </c>
      <c r="L843" s="63">
        <v>600</v>
      </c>
      <c r="M843" s="64" t="s">
        <v>2216</v>
      </c>
      <c r="N843" s="2"/>
    </row>
    <row r="844" spans="1:14" ht="14.4">
      <c r="A844" s="42">
        <v>45862</v>
      </c>
      <c r="B844" s="61" t="s">
        <v>480</v>
      </c>
      <c r="C844" s="39" t="s">
        <v>2097</v>
      </c>
      <c r="D844" s="20" t="s">
        <v>27</v>
      </c>
      <c r="E844" s="54" t="s">
        <v>447</v>
      </c>
      <c r="F844" s="54" t="s">
        <v>27</v>
      </c>
      <c r="G844" s="10" t="s">
        <v>27</v>
      </c>
      <c r="H844" s="39" t="s">
        <v>1424</v>
      </c>
      <c r="I844" s="39"/>
      <c r="J844" s="44">
        <v>1000</v>
      </c>
      <c r="K844" s="44"/>
      <c r="L844" s="63">
        <v>1000</v>
      </c>
      <c r="M844" s="64" t="s">
        <v>1381</v>
      </c>
      <c r="N844" s="2"/>
    </row>
    <row r="845" spans="1:14" ht="14.4">
      <c r="A845" s="42">
        <v>45862</v>
      </c>
      <c r="B845" s="61" t="s">
        <v>2278</v>
      </c>
      <c r="C845" s="39" t="s">
        <v>2279</v>
      </c>
      <c r="D845" s="20" t="s">
        <v>280</v>
      </c>
      <c r="E845" s="54" t="s">
        <v>447</v>
      </c>
      <c r="F845" s="54" t="s">
        <v>33</v>
      </c>
      <c r="G845" s="23" t="s">
        <v>23</v>
      </c>
      <c r="H845" s="39" t="s">
        <v>879</v>
      </c>
      <c r="I845" s="39" t="s">
        <v>1091</v>
      </c>
      <c r="J845" s="44">
        <v>85</v>
      </c>
      <c r="K845" s="44"/>
      <c r="L845" s="63">
        <v>85</v>
      </c>
      <c r="M845" s="64" t="s">
        <v>2253</v>
      </c>
      <c r="N845" s="2"/>
    </row>
    <row r="846" spans="1:14" ht="14.4">
      <c r="A846" s="42">
        <v>45862</v>
      </c>
      <c r="B846" s="61" t="s">
        <v>2280</v>
      </c>
      <c r="C846" s="39" t="s">
        <v>2281</v>
      </c>
      <c r="D846" s="20"/>
      <c r="E846" s="54"/>
      <c r="F846" s="54"/>
      <c r="G846" s="23"/>
      <c r="H846" s="39"/>
      <c r="I846" s="39"/>
      <c r="J846" s="44"/>
      <c r="K846" s="44"/>
      <c r="L846" s="63"/>
      <c r="M846" s="64" t="s">
        <v>2216</v>
      </c>
      <c r="N846" s="2"/>
    </row>
    <row r="847" spans="1:14" ht="14.4">
      <c r="A847" s="42">
        <v>45863</v>
      </c>
      <c r="B847" s="61" t="s">
        <v>2282</v>
      </c>
      <c r="C847" s="39" t="s">
        <v>2283</v>
      </c>
      <c r="D847" s="20" t="s">
        <v>1035</v>
      </c>
      <c r="E847" s="54" t="s">
        <v>447</v>
      </c>
      <c r="F847" s="54" t="s">
        <v>463</v>
      </c>
      <c r="G847" s="23" t="s">
        <v>40</v>
      </c>
      <c r="H847" s="39" t="s">
        <v>2284</v>
      </c>
      <c r="I847" s="39"/>
      <c r="J847" s="44">
        <v>570</v>
      </c>
      <c r="K847" s="44"/>
      <c r="L847" s="63">
        <v>570</v>
      </c>
      <c r="M847" s="64" t="s">
        <v>2216</v>
      </c>
      <c r="N847" s="2"/>
    </row>
    <row r="848" spans="1:14" ht="14.4">
      <c r="A848" s="42">
        <v>45863</v>
      </c>
      <c r="B848" s="61" t="s">
        <v>2282</v>
      </c>
      <c r="C848" s="39" t="s">
        <v>2283</v>
      </c>
      <c r="D848" s="20" t="s">
        <v>1035</v>
      </c>
      <c r="E848" s="54" t="s">
        <v>447</v>
      </c>
      <c r="F848" s="54" t="s">
        <v>463</v>
      </c>
      <c r="G848" s="23" t="s">
        <v>40</v>
      </c>
      <c r="H848" s="39" t="s">
        <v>2284</v>
      </c>
      <c r="I848" s="39"/>
      <c r="J848" s="44">
        <v>570</v>
      </c>
      <c r="K848" s="44"/>
      <c r="L848" s="63">
        <v>570</v>
      </c>
      <c r="M848" s="64" t="s">
        <v>1381</v>
      </c>
      <c r="N848" s="2"/>
    </row>
    <row r="849" spans="1:14" ht="14.4">
      <c r="A849" s="42">
        <v>45863</v>
      </c>
      <c r="B849" s="61" t="s">
        <v>653</v>
      </c>
      <c r="C849" s="39"/>
      <c r="D849" s="20" t="s">
        <v>502</v>
      </c>
      <c r="E849" s="54" t="s">
        <v>447</v>
      </c>
      <c r="F849" s="54" t="s">
        <v>33</v>
      </c>
      <c r="G849" s="23" t="s">
        <v>23</v>
      </c>
      <c r="H849" s="39" t="s">
        <v>1889</v>
      </c>
      <c r="I849" s="39" t="s">
        <v>1220</v>
      </c>
      <c r="J849" s="44">
        <v>80</v>
      </c>
      <c r="K849" s="44"/>
      <c r="L849" s="63">
        <v>80</v>
      </c>
      <c r="M849" s="64" t="s">
        <v>2207</v>
      </c>
      <c r="N849" s="2"/>
    </row>
    <row r="850" spans="1:14" ht="14.4">
      <c r="A850" s="42">
        <v>45863</v>
      </c>
      <c r="B850" s="61" t="s">
        <v>2285</v>
      </c>
      <c r="C850" s="39" t="s">
        <v>2286</v>
      </c>
      <c r="D850" s="20" t="s">
        <v>1033</v>
      </c>
      <c r="E850" s="54" t="s">
        <v>447</v>
      </c>
      <c r="F850" s="54" t="s">
        <v>487</v>
      </c>
      <c r="G850" s="23" t="s">
        <v>40</v>
      </c>
      <c r="H850" s="39" t="s">
        <v>2287</v>
      </c>
      <c r="I850" s="39"/>
      <c r="J850" s="44">
        <v>1740</v>
      </c>
      <c r="K850" s="44"/>
      <c r="L850" s="63">
        <v>1740</v>
      </c>
      <c r="M850" s="64" t="s">
        <v>1381</v>
      </c>
      <c r="N850" s="2"/>
    </row>
    <row r="851" spans="1:14" ht="14.4">
      <c r="A851" s="42">
        <v>45863</v>
      </c>
      <c r="B851" s="61" t="s">
        <v>2288</v>
      </c>
      <c r="C851" s="39" t="s">
        <v>2289</v>
      </c>
      <c r="D851" s="20" t="s">
        <v>1254</v>
      </c>
      <c r="E851" s="54" t="s">
        <v>447</v>
      </c>
      <c r="F851" s="54" t="s">
        <v>283</v>
      </c>
      <c r="G851" s="23" t="s">
        <v>23</v>
      </c>
      <c r="H851" s="39" t="s">
        <v>2290</v>
      </c>
      <c r="I851" s="39" t="s">
        <v>1085</v>
      </c>
      <c r="J851" s="44">
        <v>2500</v>
      </c>
      <c r="K851" s="44"/>
      <c r="L851" s="63">
        <v>2500</v>
      </c>
      <c r="M851" s="64" t="s">
        <v>2216</v>
      </c>
      <c r="N851" s="2"/>
    </row>
    <row r="852" spans="1:14" ht="14.4">
      <c r="A852" s="42">
        <v>45863</v>
      </c>
      <c r="B852" s="61" t="s">
        <v>2288</v>
      </c>
      <c r="C852" s="39" t="s">
        <v>2289</v>
      </c>
      <c r="D852" s="20" t="s">
        <v>1254</v>
      </c>
      <c r="E852" s="54" t="s">
        <v>447</v>
      </c>
      <c r="F852" s="54" t="s">
        <v>283</v>
      </c>
      <c r="G852" s="23" t="s">
        <v>23</v>
      </c>
      <c r="H852" s="39" t="s">
        <v>2290</v>
      </c>
      <c r="I852" s="39" t="s">
        <v>1085</v>
      </c>
      <c r="J852" s="44">
        <v>2500</v>
      </c>
      <c r="K852" s="44"/>
      <c r="L852" s="63">
        <v>2500</v>
      </c>
      <c r="M852" s="64" t="s">
        <v>1381</v>
      </c>
      <c r="N852" s="2"/>
    </row>
    <row r="853" spans="1:14" ht="14.4">
      <c r="A853" s="42">
        <v>45863</v>
      </c>
      <c r="B853" s="61" t="s">
        <v>2291</v>
      </c>
      <c r="C853" s="39" t="s">
        <v>2292</v>
      </c>
      <c r="D853" s="20" t="s">
        <v>1035</v>
      </c>
      <c r="E853" s="54" t="s">
        <v>447</v>
      </c>
      <c r="F853" s="54" t="s">
        <v>487</v>
      </c>
      <c r="G853" s="23" t="s">
        <v>40</v>
      </c>
      <c r="H853" s="39" t="s">
        <v>2262</v>
      </c>
      <c r="I853" s="39"/>
      <c r="J853" s="44">
        <v>890</v>
      </c>
      <c r="K853" s="44"/>
      <c r="L853" s="63">
        <v>890</v>
      </c>
      <c r="M853" s="64" t="s">
        <v>1381</v>
      </c>
      <c r="N853" s="2"/>
    </row>
    <row r="854" spans="1:14" ht="14.4">
      <c r="A854" s="42">
        <v>45868</v>
      </c>
      <c r="B854" s="61" t="s">
        <v>2293</v>
      </c>
      <c r="C854" s="39" t="s">
        <v>2294</v>
      </c>
      <c r="D854" s="20" t="s">
        <v>1254</v>
      </c>
      <c r="E854" s="54" t="s">
        <v>447</v>
      </c>
      <c r="F854" s="54" t="s">
        <v>252</v>
      </c>
      <c r="G854" s="23" t="s">
        <v>23</v>
      </c>
      <c r="H854" s="39" t="s">
        <v>2295</v>
      </c>
      <c r="I854" s="39" t="s">
        <v>1220</v>
      </c>
      <c r="J854" s="44">
        <v>90</v>
      </c>
      <c r="K854" s="44"/>
      <c r="L854" s="63">
        <v>90</v>
      </c>
      <c r="M854" s="64" t="s">
        <v>2253</v>
      </c>
      <c r="N854" s="2"/>
    </row>
    <row r="855" spans="1:14" ht="14.4">
      <c r="A855" s="42">
        <v>45868</v>
      </c>
      <c r="B855" s="61" t="s">
        <v>2296</v>
      </c>
      <c r="C855" s="39" t="s">
        <v>2297</v>
      </c>
      <c r="D855" s="20" t="s">
        <v>446</v>
      </c>
      <c r="E855" s="54" t="s">
        <v>447</v>
      </c>
      <c r="F855" s="54" t="s">
        <v>252</v>
      </c>
      <c r="G855" s="23" t="s">
        <v>23</v>
      </c>
      <c r="H855" s="39" t="s">
        <v>2295</v>
      </c>
      <c r="I855" s="39" t="s">
        <v>1220</v>
      </c>
      <c r="J855" s="44">
        <v>80</v>
      </c>
      <c r="K855" s="44"/>
      <c r="L855" s="63">
        <v>80</v>
      </c>
      <c r="M855" s="64" t="s">
        <v>2207</v>
      </c>
      <c r="N855" s="2"/>
    </row>
    <row r="856" spans="1:14" ht="14.4">
      <c r="A856" s="42">
        <v>45868</v>
      </c>
      <c r="B856" s="61" t="s">
        <v>2298</v>
      </c>
      <c r="C856" s="39"/>
      <c r="D856" s="20" t="s">
        <v>985</v>
      </c>
      <c r="E856" s="54" t="s">
        <v>447</v>
      </c>
      <c r="F856" s="54" t="s">
        <v>22</v>
      </c>
      <c r="G856" s="23" t="s">
        <v>23</v>
      </c>
      <c r="H856" s="39" t="s">
        <v>2299</v>
      </c>
      <c r="I856" s="39" t="s">
        <v>1142</v>
      </c>
      <c r="J856" s="44">
        <v>219</v>
      </c>
      <c r="K856" s="44"/>
      <c r="L856" s="63">
        <v>438</v>
      </c>
      <c r="M856" s="64" t="s">
        <v>2253</v>
      </c>
      <c r="N856" s="2"/>
    </row>
    <row r="857" spans="1:14" ht="14.4">
      <c r="A857" s="42">
        <v>45868</v>
      </c>
      <c r="B857" s="61" t="s">
        <v>2300</v>
      </c>
      <c r="C857" s="39" t="s">
        <v>2301</v>
      </c>
      <c r="D857" s="20" t="s">
        <v>280</v>
      </c>
      <c r="E857" s="54" t="s">
        <v>447</v>
      </c>
      <c r="F857" s="54" t="s">
        <v>33</v>
      </c>
      <c r="G857" s="23" t="s">
        <v>23</v>
      </c>
      <c r="H857" s="39" t="s">
        <v>2302</v>
      </c>
      <c r="I857" s="39" t="s">
        <v>1220</v>
      </c>
      <c r="J857" s="44">
        <v>90</v>
      </c>
      <c r="K857" s="44"/>
      <c r="L857" s="63">
        <v>90</v>
      </c>
      <c r="M857" s="64" t="s">
        <v>2253</v>
      </c>
      <c r="N857" s="2"/>
    </row>
    <row r="858" spans="1:14" ht="14.4">
      <c r="A858" s="42">
        <v>45868</v>
      </c>
      <c r="B858" s="61" t="s">
        <v>2303</v>
      </c>
      <c r="C858" s="39"/>
      <c r="D858" s="20" t="s">
        <v>502</v>
      </c>
      <c r="E858" s="54" t="s">
        <v>447</v>
      </c>
      <c r="F858" s="54" t="s">
        <v>33</v>
      </c>
      <c r="G858" s="23" t="s">
        <v>23</v>
      </c>
      <c r="H858" s="39" t="s">
        <v>2304</v>
      </c>
      <c r="I858" s="39" t="s">
        <v>1607</v>
      </c>
      <c r="J858" s="44">
        <v>80</v>
      </c>
      <c r="K858" s="44"/>
      <c r="L858" s="63">
        <v>80</v>
      </c>
      <c r="M858" s="64" t="s">
        <v>2207</v>
      </c>
      <c r="N858" s="2"/>
    </row>
    <row r="859" spans="1:14" ht="14.4">
      <c r="A859" s="42">
        <v>45869</v>
      </c>
      <c r="B859" s="61" t="s">
        <v>2305</v>
      </c>
      <c r="C859" s="39" t="s">
        <v>2306</v>
      </c>
      <c r="D859" s="20" t="s">
        <v>280</v>
      </c>
      <c r="E859" s="54" t="s">
        <v>447</v>
      </c>
      <c r="F859" s="54" t="s">
        <v>252</v>
      </c>
      <c r="G859" s="23" t="s">
        <v>23</v>
      </c>
      <c r="H859" s="39" t="s">
        <v>2307</v>
      </c>
      <c r="I859" s="39" t="s">
        <v>1085</v>
      </c>
      <c r="J859" s="44">
        <v>550</v>
      </c>
      <c r="K859" s="44"/>
      <c r="L859" s="63">
        <v>550</v>
      </c>
      <c r="M859" s="64" t="s">
        <v>2207</v>
      </c>
      <c r="N859" s="2"/>
    </row>
    <row r="860" spans="1:14" ht="14.4">
      <c r="A860" s="42">
        <v>45869</v>
      </c>
      <c r="B860" s="61" t="s">
        <v>2308</v>
      </c>
      <c r="C860" s="39" t="s">
        <v>2309</v>
      </c>
      <c r="D860" s="20" t="s">
        <v>27</v>
      </c>
      <c r="E860" s="54" t="s">
        <v>447</v>
      </c>
      <c r="F860" s="54" t="s">
        <v>27</v>
      </c>
      <c r="G860" s="23" t="s">
        <v>27</v>
      </c>
      <c r="H860" s="39" t="s">
        <v>2310</v>
      </c>
      <c r="I860" s="39"/>
      <c r="J860" s="44">
        <f>390/2</f>
        <v>195</v>
      </c>
      <c r="K860" s="44"/>
      <c r="L860" s="63">
        <v>195</v>
      </c>
      <c r="M860" s="64" t="s">
        <v>2207</v>
      </c>
      <c r="N860" s="2"/>
    </row>
    <row r="861" spans="1:14" ht="14.4">
      <c r="A861" s="42">
        <v>45870</v>
      </c>
      <c r="B861" s="61" t="s">
        <v>2311</v>
      </c>
      <c r="C861" s="39" t="s">
        <v>2097</v>
      </c>
      <c r="D861" s="20" t="s">
        <v>27</v>
      </c>
      <c r="E861" s="54" t="s">
        <v>447</v>
      </c>
      <c r="F861" s="54" t="s">
        <v>27</v>
      </c>
      <c r="G861" s="23" t="s">
        <v>27</v>
      </c>
      <c r="H861" s="39" t="s">
        <v>2310</v>
      </c>
      <c r="I861" s="39"/>
      <c r="J861" s="44">
        <v>500</v>
      </c>
      <c r="K861" s="44"/>
      <c r="L861" s="63">
        <v>500</v>
      </c>
      <c r="M861" s="64" t="s">
        <v>1381</v>
      </c>
      <c r="N861" s="2"/>
    </row>
    <row r="862" spans="1:14" ht="14.4">
      <c r="A862" s="42">
        <v>45869</v>
      </c>
      <c r="B862" s="61" t="s">
        <v>2308</v>
      </c>
      <c r="C862" s="39" t="s">
        <v>2309</v>
      </c>
      <c r="D862" s="20" t="s">
        <v>27</v>
      </c>
      <c r="E862" s="54" t="s">
        <v>447</v>
      </c>
      <c r="F862" s="54" t="s">
        <v>27</v>
      </c>
      <c r="G862" s="23" t="s">
        <v>27</v>
      </c>
      <c r="H862" s="39" t="s">
        <v>2310</v>
      </c>
      <c r="I862" s="39"/>
      <c r="J862" s="44">
        <v>195</v>
      </c>
      <c r="K862" s="44"/>
      <c r="L862" s="63">
        <v>195</v>
      </c>
      <c r="M862" s="64" t="s">
        <v>1381</v>
      </c>
      <c r="N862" s="2"/>
    </row>
    <row r="863" spans="1:14" ht="14.4">
      <c r="A863" s="42">
        <v>45870</v>
      </c>
      <c r="B863" s="61" t="s">
        <v>2101</v>
      </c>
      <c r="C863" s="39" t="s">
        <v>2312</v>
      </c>
      <c r="D863" s="20" t="s">
        <v>864</v>
      </c>
      <c r="E863" s="54" t="s">
        <v>447</v>
      </c>
      <c r="F863" s="54" t="s">
        <v>25</v>
      </c>
      <c r="G863" s="23" t="s">
        <v>25</v>
      </c>
      <c r="H863" s="39" t="s">
        <v>2313</v>
      </c>
      <c r="I863" s="39" t="s">
        <v>1173</v>
      </c>
      <c r="J863" s="44">
        <v>1045</v>
      </c>
      <c r="K863" s="44"/>
      <c r="L863" s="63">
        <v>1045</v>
      </c>
      <c r="M863" s="64" t="s">
        <v>2216</v>
      </c>
      <c r="N863" s="2"/>
    </row>
    <row r="864" spans="1:14" ht="14.4">
      <c r="A864" s="42">
        <v>45870</v>
      </c>
      <c r="B864" s="61" t="s">
        <v>2314</v>
      </c>
      <c r="C864" s="39" t="s">
        <v>2315</v>
      </c>
      <c r="D864" s="20" t="s">
        <v>446</v>
      </c>
      <c r="E864" s="54" t="s">
        <v>447</v>
      </c>
      <c r="F864" s="54" t="s">
        <v>252</v>
      </c>
      <c r="G864" s="23" t="s">
        <v>23</v>
      </c>
      <c r="H864" s="39" t="s">
        <v>2316</v>
      </c>
      <c r="I864" s="39" t="s">
        <v>1142</v>
      </c>
      <c r="J864" s="44">
        <v>192.5</v>
      </c>
      <c r="K864" s="44"/>
      <c r="L864" s="63">
        <v>385</v>
      </c>
      <c r="M864" s="64" t="s">
        <v>2253</v>
      </c>
      <c r="N864" s="2"/>
    </row>
    <row r="865" spans="1:14" ht="14.4">
      <c r="A865" s="42">
        <v>45870</v>
      </c>
      <c r="B865" s="61" t="s">
        <v>2317</v>
      </c>
      <c r="C865" s="39" t="s">
        <v>2318</v>
      </c>
      <c r="D865" s="20" t="s">
        <v>280</v>
      </c>
      <c r="E865" s="54" t="s">
        <v>447</v>
      </c>
      <c r="F865" s="54" t="s">
        <v>252</v>
      </c>
      <c r="G865" s="23" t="s">
        <v>23</v>
      </c>
      <c r="H865" s="39" t="s">
        <v>2319</v>
      </c>
      <c r="I865" s="39" t="s">
        <v>1111</v>
      </c>
      <c r="J865" s="44">
        <v>90</v>
      </c>
      <c r="K865" s="44"/>
      <c r="L865" s="63">
        <v>90</v>
      </c>
      <c r="M865" s="64" t="s">
        <v>2253</v>
      </c>
      <c r="N865" s="2"/>
    </row>
    <row r="866" spans="1:14" ht="14.4">
      <c r="A866" s="42">
        <v>45871</v>
      </c>
      <c r="B866" s="61" t="s">
        <v>2320</v>
      </c>
      <c r="C866" s="39" t="s">
        <v>2321</v>
      </c>
      <c r="D866" s="20" t="s">
        <v>864</v>
      </c>
      <c r="E866" s="54" t="s">
        <v>519</v>
      </c>
      <c r="F866" s="54" t="s">
        <v>27</v>
      </c>
      <c r="G866" s="23" t="s">
        <v>27</v>
      </c>
      <c r="H866" s="39" t="s">
        <v>2322</v>
      </c>
      <c r="I866" s="39" t="s">
        <v>2125</v>
      </c>
      <c r="J866" s="44">
        <v>110</v>
      </c>
      <c r="K866" s="44"/>
      <c r="L866" s="63">
        <v>110</v>
      </c>
      <c r="M866" s="64" t="s">
        <v>2207</v>
      </c>
      <c r="N866" s="2"/>
    </row>
    <row r="867" spans="1:14" ht="14.4">
      <c r="A867" s="42">
        <v>45871</v>
      </c>
      <c r="B867" s="61" t="s">
        <v>2323</v>
      </c>
      <c r="C867" s="39" t="s">
        <v>2324</v>
      </c>
      <c r="D867" s="20" t="s">
        <v>1254</v>
      </c>
      <c r="E867" s="54" t="s">
        <v>447</v>
      </c>
      <c r="F867" s="54" t="s">
        <v>252</v>
      </c>
      <c r="G867" s="23" t="s">
        <v>23</v>
      </c>
      <c r="H867" s="39" t="s">
        <v>2325</v>
      </c>
      <c r="I867" s="39" t="s">
        <v>2326</v>
      </c>
      <c r="J867" s="44">
        <v>80</v>
      </c>
      <c r="K867" s="44"/>
      <c r="L867" s="63">
        <v>80</v>
      </c>
      <c r="M867" s="64" t="s">
        <v>1381</v>
      </c>
      <c r="N867" s="2"/>
    </row>
    <row r="868" spans="1:14" ht="14.4">
      <c r="A868" s="42">
        <v>45871</v>
      </c>
      <c r="B868" s="61" t="s">
        <v>2327</v>
      </c>
      <c r="C868" s="39" t="s">
        <v>2328</v>
      </c>
      <c r="D868" s="20" t="s">
        <v>27</v>
      </c>
      <c r="E868" s="54" t="s">
        <v>447</v>
      </c>
      <c r="F868" s="54" t="s">
        <v>27</v>
      </c>
      <c r="G868" s="23" t="s">
        <v>27</v>
      </c>
      <c r="H868" s="39" t="s">
        <v>344</v>
      </c>
      <c r="I868" s="39"/>
      <c r="J868" s="44">
        <v>390</v>
      </c>
      <c r="K868" s="44"/>
      <c r="L868" s="63">
        <v>390</v>
      </c>
      <c r="M868" s="64" t="s">
        <v>1381</v>
      </c>
      <c r="N868" s="2"/>
    </row>
    <row r="869" spans="1:14" ht="14.4">
      <c r="A869" s="42">
        <v>45871</v>
      </c>
      <c r="B869" s="61" t="s">
        <v>2329</v>
      </c>
      <c r="C869" s="39" t="s">
        <v>2330</v>
      </c>
      <c r="D869" s="20" t="s">
        <v>27</v>
      </c>
      <c r="E869" s="54" t="s">
        <v>519</v>
      </c>
      <c r="F869" s="54" t="s">
        <v>27</v>
      </c>
      <c r="G869" s="23" t="s">
        <v>27</v>
      </c>
      <c r="H869" s="39" t="s">
        <v>2331</v>
      </c>
      <c r="I869" s="39"/>
      <c r="J869" s="44">
        <v>530</v>
      </c>
      <c r="K869" s="44"/>
      <c r="L869" s="63">
        <v>530</v>
      </c>
      <c r="M869" s="64" t="s">
        <v>2207</v>
      </c>
      <c r="N869" s="2"/>
    </row>
    <row r="870" spans="1:14" ht="14.4">
      <c r="A870" s="42">
        <v>45870</v>
      </c>
      <c r="B870" s="61" t="s">
        <v>2332</v>
      </c>
      <c r="C870" s="175" t="s">
        <v>2333</v>
      </c>
      <c r="D870" s="20" t="s">
        <v>864</v>
      </c>
      <c r="E870" s="54" t="s">
        <v>447</v>
      </c>
      <c r="F870" s="54" t="s">
        <v>25</v>
      </c>
      <c r="G870" s="23" t="s">
        <v>25</v>
      </c>
      <c r="H870" s="39" t="s">
        <v>2334</v>
      </c>
      <c r="I870" s="39" t="s">
        <v>1111</v>
      </c>
      <c r="J870" s="44">
        <v>1180</v>
      </c>
      <c r="K870" s="44"/>
      <c r="L870" s="63">
        <v>1180</v>
      </c>
      <c r="M870" s="64" t="s">
        <v>2216</v>
      </c>
      <c r="N870" s="2"/>
    </row>
    <row r="871" spans="1:14" ht="14.4">
      <c r="A871" s="42">
        <v>45871</v>
      </c>
      <c r="B871" s="61" t="s">
        <v>2335</v>
      </c>
      <c r="C871" s="39" t="s">
        <v>2328</v>
      </c>
      <c r="D871" s="20" t="s">
        <v>27</v>
      </c>
      <c r="E871" s="54" t="s">
        <v>447</v>
      </c>
      <c r="F871" s="54" t="s">
        <v>27</v>
      </c>
      <c r="G871" s="23" t="s">
        <v>27</v>
      </c>
      <c r="H871" s="39" t="s">
        <v>344</v>
      </c>
      <c r="I871" s="39"/>
      <c r="J871" s="44">
        <v>290</v>
      </c>
      <c r="K871" s="44"/>
      <c r="L871" s="63">
        <v>290</v>
      </c>
      <c r="M871" s="64" t="s">
        <v>2216</v>
      </c>
      <c r="N871" s="2"/>
    </row>
    <row r="872" spans="1:14" ht="14.4">
      <c r="A872" s="42">
        <v>45873</v>
      </c>
      <c r="B872" s="61" t="s">
        <v>2336</v>
      </c>
      <c r="C872" s="39" t="s">
        <v>1931</v>
      </c>
      <c r="D872" s="20" t="s">
        <v>1033</v>
      </c>
      <c r="E872" s="54" t="s">
        <v>447</v>
      </c>
      <c r="F872" s="54" t="s">
        <v>487</v>
      </c>
      <c r="G872" s="23" t="s">
        <v>40</v>
      </c>
      <c r="H872" s="39" t="s">
        <v>2337</v>
      </c>
      <c r="I872" s="39"/>
      <c r="J872" s="44">
        <v>1300</v>
      </c>
      <c r="K872" s="44"/>
      <c r="L872" s="63">
        <v>1300</v>
      </c>
      <c r="M872" s="64" t="s">
        <v>1381</v>
      </c>
      <c r="N872" s="2"/>
    </row>
    <row r="873" spans="1:14" ht="14.4">
      <c r="A873" s="42">
        <v>45873</v>
      </c>
      <c r="B873" s="61" t="s">
        <v>1860</v>
      </c>
      <c r="C873" s="176" t="s">
        <v>2338</v>
      </c>
      <c r="D873" s="20" t="s">
        <v>446</v>
      </c>
      <c r="E873" s="54" t="s">
        <v>447</v>
      </c>
      <c r="F873" s="54" t="s">
        <v>252</v>
      </c>
      <c r="G873" s="23" t="s">
        <v>23</v>
      </c>
      <c r="H873" s="39" t="s">
        <v>2304</v>
      </c>
      <c r="I873" s="39" t="s">
        <v>1173</v>
      </c>
      <c r="J873" s="44">
        <v>80</v>
      </c>
      <c r="K873" s="44"/>
      <c r="L873" s="63">
        <v>80</v>
      </c>
      <c r="M873" s="64" t="s">
        <v>2207</v>
      </c>
      <c r="N873" s="2"/>
    </row>
    <row r="874" spans="1:14" ht="14.4">
      <c r="A874" s="42">
        <v>45873</v>
      </c>
      <c r="B874" s="61" t="s">
        <v>2296</v>
      </c>
      <c r="C874" s="39" t="s">
        <v>2297</v>
      </c>
      <c r="D874" s="20" t="s">
        <v>446</v>
      </c>
      <c r="E874" s="54" t="s">
        <v>447</v>
      </c>
      <c r="F874" s="54" t="s">
        <v>252</v>
      </c>
      <c r="G874" s="23" t="s">
        <v>23</v>
      </c>
      <c r="H874" s="39" t="s">
        <v>2339</v>
      </c>
      <c r="I874" s="39" t="s">
        <v>1220</v>
      </c>
      <c r="J874" s="44">
        <v>419</v>
      </c>
      <c r="K874" s="44"/>
      <c r="L874" s="63">
        <v>419</v>
      </c>
      <c r="M874" s="64" t="s">
        <v>2207</v>
      </c>
      <c r="N874" s="2"/>
    </row>
    <row r="875" spans="1:14" ht="14.4">
      <c r="A875" s="42">
        <v>45873</v>
      </c>
      <c r="B875" s="61" t="s">
        <v>2340</v>
      </c>
      <c r="C875" s="39" t="s">
        <v>2341</v>
      </c>
      <c r="D875" s="20" t="s">
        <v>446</v>
      </c>
      <c r="E875" s="54" t="s">
        <v>447</v>
      </c>
      <c r="F875" s="54" t="s">
        <v>33</v>
      </c>
      <c r="G875" s="23" t="s">
        <v>23</v>
      </c>
      <c r="H875" s="39" t="s">
        <v>2342</v>
      </c>
      <c r="I875" s="39" t="s">
        <v>1111</v>
      </c>
      <c r="J875" s="44">
        <v>90</v>
      </c>
      <c r="K875" s="44"/>
      <c r="L875" s="63">
        <v>90</v>
      </c>
      <c r="M875" s="64" t="s">
        <v>2253</v>
      </c>
      <c r="N875" s="2"/>
    </row>
    <row r="876" spans="1:14" ht="14.4">
      <c r="A876" s="42">
        <v>45873</v>
      </c>
      <c r="B876" s="61" t="s">
        <v>2343</v>
      </c>
      <c r="C876" s="39" t="s">
        <v>2344</v>
      </c>
      <c r="D876" s="20" t="s">
        <v>985</v>
      </c>
      <c r="E876" s="54" t="s">
        <v>447</v>
      </c>
      <c r="F876" s="54" t="s">
        <v>22</v>
      </c>
      <c r="G876" s="23" t="s">
        <v>23</v>
      </c>
      <c r="H876" s="39" t="s">
        <v>2345</v>
      </c>
      <c r="I876" s="39" t="s">
        <v>1291</v>
      </c>
      <c r="J876" s="44">
        <v>112.5</v>
      </c>
      <c r="K876" s="44">
        <v>112.5</v>
      </c>
      <c r="L876" s="63">
        <v>225</v>
      </c>
      <c r="M876" s="64" t="s">
        <v>2253</v>
      </c>
      <c r="N876" s="2"/>
    </row>
    <row r="877" spans="1:14" ht="14.4">
      <c r="A877" s="158">
        <v>45873</v>
      </c>
      <c r="B877" s="143" t="s">
        <v>605</v>
      </c>
      <c r="C877" s="177" t="s">
        <v>2333</v>
      </c>
      <c r="D877" s="140" t="s">
        <v>864</v>
      </c>
      <c r="E877" s="145" t="s">
        <v>447</v>
      </c>
      <c r="F877" s="145" t="s">
        <v>25</v>
      </c>
      <c r="G877" s="23" t="s">
        <v>25</v>
      </c>
      <c r="H877" s="144" t="s">
        <v>2346</v>
      </c>
      <c r="I877" s="144" t="s">
        <v>1111</v>
      </c>
      <c r="J877" s="147">
        <v>750</v>
      </c>
      <c r="K877" s="148"/>
      <c r="L877" s="147">
        <v>750</v>
      </c>
      <c r="M877" s="41" t="s">
        <v>2216</v>
      </c>
      <c r="N877" s="24"/>
    </row>
    <row r="878" spans="1:14" ht="14.4">
      <c r="A878" s="42">
        <v>45873</v>
      </c>
      <c r="B878" s="61" t="s">
        <v>2347</v>
      </c>
      <c r="C878" s="39" t="s">
        <v>2348</v>
      </c>
      <c r="D878" s="20" t="s">
        <v>27</v>
      </c>
      <c r="E878" s="54" t="s">
        <v>447</v>
      </c>
      <c r="F878" s="54" t="s">
        <v>27</v>
      </c>
      <c r="G878" s="23" t="s">
        <v>27</v>
      </c>
      <c r="H878" s="39" t="s">
        <v>2310</v>
      </c>
      <c r="I878" s="39"/>
      <c r="J878" s="44">
        <v>390</v>
      </c>
      <c r="K878" s="44"/>
      <c r="L878" s="63">
        <v>390</v>
      </c>
      <c r="M878" s="64" t="s">
        <v>2207</v>
      </c>
      <c r="N878" s="2"/>
    </row>
    <row r="879" spans="1:14" ht="14.4">
      <c r="A879" s="42">
        <v>45874</v>
      </c>
      <c r="B879" s="61" t="s">
        <v>2349</v>
      </c>
      <c r="C879" s="39" t="s">
        <v>2350</v>
      </c>
      <c r="D879" s="20" t="s">
        <v>1035</v>
      </c>
      <c r="E879" s="54" t="s">
        <v>519</v>
      </c>
      <c r="F879" s="54" t="s">
        <v>487</v>
      </c>
      <c r="G879" s="23" t="s">
        <v>40</v>
      </c>
      <c r="H879" s="39" t="s">
        <v>2351</v>
      </c>
      <c r="I879" s="39"/>
      <c r="J879" s="44">
        <v>440</v>
      </c>
      <c r="K879" s="44">
        <v>0</v>
      </c>
      <c r="L879" s="63">
        <v>440</v>
      </c>
      <c r="M879" s="64" t="s">
        <v>2216</v>
      </c>
      <c r="N879" s="2"/>
    </row>
    <row r="880" spans="1:14" ht="14.4">
      <c r="A880" s="42">
        <v>45874</v>
      </c>
      <c r="B880" s="61" t="s">
        <v>2352</v>
      </c>
      <c r="C880" s="39" t="s">
        <v>2353</v>
      </c>
      <c r="D880" s="20" t="s">
        <v>985</v>
      </c>
      <c r="E880" s="54" t="s">
        <v>447</v>
      </c>
      <c r="F880" s="54" t="s">
        <v>22</v>
      </c>
      <c r="G880" s="23" t="s">
        <v>23</v>
      </c>
      <c r="H880" s="39" t="s">
        <v>2354</v>
      </c>
      <c r="I880" s="39" t="s">
        <v>1069</v>
      </c>
      <c r="J880" s="44">
        <v>100</v>
      </c>
      <c r="K880" s="44">
        <v>99</v>
      </c>
      <c r="L880" s="63">
        <v>199</v>
      </c>
      <c r="M880" s="64" t="s">
        <v>2216</v>
      </c>
      <c r="N880" s="2"/>
    </row>
    <row r="881" spans="1:14" ht="14.4">
      <c r="A881" s="42">
        <v>45874</v>
      </c>
      <c r="B881" s="61" t="s">
        <v>2355</v>
      </c>
      <c r="C881" s="39" t="s">
        <v>2356</v>
      </c>
      <c r="D881" s="20" t="s">
        <v>446</v>
      </c>
      <c r="E881" s="54" t="s">
        <v>447</v>
      </c>
      <c r="F881" s="54" t="s">
        <v>253</v>
      </c>
      <c r="G881" s="23" t="s">
        <v>23</v>
      </c>
      <c r="H881" s="39" t="s">
        <v>2357</v>
      </c>
      <c r="I881" s="39" t="s">
        <v>1954</v>
      </c>
      <c r="J881" s="44">
        <v>250</v>
      </c>
      <c r="K881" s="44"/>
      <c r="L881" s="63">
        <v>250</v>
      </c>
      <c r="M881" s="64" t="s">
        <v>2207</v>
      </c>
      <c r="N881" s="2"/>
    </row>
    <row r="882" spans="1:14" ht="14.4">
      <c r="A882" s="42">
        <v>45874</v>
      </c>
      <c r="B882" s="61" t="s">
        <v>2358</v>
      </c>
      <c r="C882" s="39" t="s">
        <v>2359</v>
      </c>
      <c r="D882" s="20" t="s">
        <v>27</v>
      </c>
      <c r="E882" s="54" t="s">
        <v>447</v>
      </c>
      <c r="F882" s="54" t="s">
        <v>27</v>
      </c>
      <c r="G882" s="23" t="s">
        <v>27</v>
      </c>
      <c r="H882" s="39" t="s">
        <v>2310</v>
      </c>
      <c r="I882" s="39" t="s">
        <v>1094</v>
      </c>
      <c r="J882" s="44">
        <v>230</v>
      </c>
      <c r="K882" s="44"/>
      <c r="L882" s="63">
        <v>230</v>
      </c>
      <c r="M882" s="64" t="s">
        <v>2207</v>
      </c>
      <c r="N882" s="2"/>
    </row>
    <row r="883" spans="1:14" ht="14.4">
      <c r="A883" s="42">
        <v>45874</v>
      </c>
      <c r="B883" s="143" t="s">
        <v>1223</v>
      </c>
      <c r="C883" s="177" t="s">
        <v>2333</v>
      </c>
      <c r="D883" s="140" t="s">
        <v>864</v>
      </c>
      <c r="E883" s="145" t="s">
        <v>447</v>
      </c>
      <c r="F883" s="145" t="s">
        <v>25</v>
      </c>
      <c r="G883" s="23" t="s">
        <v>25</v>
      </c>
      <c r="H883" s="144" t="s">
        <v>2360</v>
      </c>
      <c r="I883" s="144" t="s">
        <v>1111</v>
      </c>
      <c r="J883" s="147">
        <v>590</v>
      </c>
      <c r="K883" s="148"/>
      <c r="L883" s="147">
        <v>590</v>
      </c>
      <c r="M883" s="41" t="s">
        <v>2216</v>
      </c>
      <c r="N883" s="24"/>
    </row>
    <row r="884" spans="1:14" ht="14.4">
      <c r="A884" s="42">
        <v>45874</v>
      </c>
      <c r="B884" s="61" t="s">
        <v>2361</v>
      </c>
      <c r="C884" s="39" t="s">
        <v>2362</v>
      </c>
      <c r="D884" s="20" t="s">
        <v>1035</v>
      </c>
      <c r="E884" s="54" t="s">
        <v>519</v>
      </c>
      <c r="F884" s="54" t="s">
        <v>463</v>
      </c>
      <c r="G884" s="23" t="s">
        <v>40</v>
      </c>
      <c r="H884" s="39" t="s">
        <v>1894</v>
      </c>
      <c r="I884" s="39" t="s">
        <v>1091</v>
      </c>
      <c r="J884" s="44">
        <v>125</v>
      </c>
      <c r="K884" s="44">
        <v>125</v>
      </c>
      <c r="L884" s="63">
        <v>250</v>
      </c>
      <c r="M884" s="64" t="s">
        <v>2216</v>
      </c>
      <c r="N884" s="2"/>
    </row>
    <row r="885" spans="1:14" ht="14.4">
      <c r="A885" s="42">
        <v>45874</v>
      </c>
      <c r="B885" s="61" t="s">
        <v>2363</v>
      </c>
      <c r="C885" s="39" t="s">
        <v>2364</v>
      </c>
      <c r="D885" s="20" t="s">
        <v>2365</v>
      </c>
      <c r="E885" s="54" t="s">
        <v>447</v>
      </c>
      <c r="F885" s="54" t="s">
        <v>463</v>
      </c>
      <c r="G885" s="23" t="s">
        <v>40</v>
      </c>
      <c r="H885" s="39" t="s">
        <v>1894</v>
      </c>
      <c r="I885" s="39" t="s">
        <v>1325</v>
      </c>
      <c r="J885" s="44">
        <v>100</v>
      </c>
      <c r="K885" s="44"/>
      <c r="L885" s="63">
        <v>100</v>
      </c>
      <c r="M885" s="64" t="s">
        <v>2207</v>
      </c>
      <c r="N885" s="2"/>
    </row>
    <row r="886" spans="1:14" ht="14.4">
      <c r="A886" s="42">
        <v>45876</v>
      </c>
      <c r="B886" s="61" t="s">
        <v>2366</v>
      </c>
      <c r="C886" s="39" t="s">
        <v>2367</v>
      </c>
      <c r="D886" s="20" t="s">
        <v>502</v>
      </c>
      <c r="E886" s="54" t="s">
        <v>447</v>
      </c>
      <c r="F886" s="54" t="s">
        <v>252</v>
      </c>
      <c r="G886" s="23" t="s">
        <v>23</v>
      </c>
      <c r="H886" s="39" t="s">
        <v>1889</v>
      </c>
      <c r="I886" s="39" t="s">
        <v>1085</v>
      </c>
      <c r="J886" s="44">
        <v>80</v>
      </c>
      <c r="K886" s="44"/>
      <c r="L886" s="63">
        <v>80</v>
      </c>
      <c r="M886" s="64" t="s">
        <v>2207</v>
      </c>
      <c r="N886" s="2"/>
    </row>
    <row r="887" spans="1:14" ht="14.4">
      <c r="A887" s="42">
        <v>45876</v>
      </c>
      <c r="B887" s="61" t="s">
        <v>2368</v>
      </c>
      <c r="C887" s="39" t="s">
        <v>2369</v>
      </c>
      <c r="D887" s="20" t="s">
        <v>985</v>
      </c>
      <c r="E887" s="54" t="s">
        <v>447</v>
      </c>
      <c r="F887" s="54" t="s">
        <v>253</v>
      </c>
      <c r="G887" s="23" t="s">
        <v>23</v>
      </c>
      <c r="H887" s="39" t="s">
        <v>2370</v>
      </c>
      <c r="I887" s="39" t="s">
        <v>1325</v>
      </c>
      <c r="J887" s="44">
        <v>290</v>
      </c>
      <c r="K887" s="44"/>
      <c r="L887" s="63">
        <v>290</v>
      </c>
      <c r="M887" s="64" t="s">
        <v>2207</v>
      </c>
      <c r="N887" s="2"/>
    </row>
    <row r="888" spans="1:14" ht="14.4">
      <c r="A888" s="42">
        <v>45876</v>
      </c>
      <c r="B888" s="61" t="s">
        <v>2371</v>
      </c>
      <c r="C888" s="39" t="s">
        <v>2372</v>
      </c>
      <c r="D888" s="20" t="s">
        <v>864</v>
      </c>
      <c r="E888" s="54" t="s">
        <v>447</v>
      </c>
      <c r="F888" s="54" t="s">
        <v>25</v>
      </c>
      <c r="G888" s="23" t="s">
        <v>25</v>
      </c>
      <c r="H888" s="39" t="s">
        <v>2373</v>
      </c>
      <c r="I888" s="39" t="s">
        <v>1220</v>
      </c>
      <c r="J888" s="44">
        <v>390</v>
      </c>
      <c r="K888" s="44"/>
      <c r="L888" s="63">
        <v>390</v>
      </c>
      <c r="M888" s="64" t="s">
        <v>2207</v>
      </c>
      <c r="N888" s="2"/>
    </row>
    <row r="889" spans="1:14" ht="14.4">
      <c r="A889" s="42">
        <v>45876</v>
      </c>
      <c r="B889" s="61" t="s">
        <v>2374</v>
      </c>
      <c r="C889" s="39" t="s">
        <v>2375</v>
      </c>
      <c r="D889" s="20" t="s">
        <v>985</v>
      </c>
      <c r="E889" s="54" t="s">
        <v>447</v>
      </c>
      <c r="F889" s="54" t="s">
        <v>22</v>
      </c>
      <c r="G889" s="23" t="s">
        <v>23</v>
      </c>
      <c r="H889" s="39" t="s">
        <v>2376</v>
      </c>
      <c r="I889" s="39" t="s">
        <v>1220</v>
      </c>
      <c r="J889" s="44">
        <v>125</v>
      </c>
      <c r="K889" s="44">
        <v>124</v>
      </c>
      <c r="L889" s="63">
        <v>249</v>
      </c>
      <c r="M889" s="64" t="s">
        <v>2377</v>
      </c>
      <c r="N889" s="2"/>
    </row>
    <row r="890" spans="1:14" ht="14.4">
      <c r="A890" s="42">
        <v>45877</v>
      </c>
      <c r="B890" s="61" t="s">
        <v>2378</v>
      </c>
      <c r="C890" s="39" t="s">
        <v>2379</v>
      </c>
      <c r="D890" s="20" t="s">
        <v>1254</v>
      </c>
      <c r="E890" s="54" t="s">
        <v>447</v>
      </c>
      <c r="F890" s="54" t="s">
        <v>33</v>
      </c>
      <c r="G890" s="23" t="s">
        <v>23</v>
      </c>
      <c r="H890" s="39" t="s">
        <v>2380</v>
      </c>
      <c r="I890" s="39" t="s">
        <v>1085</v>
      </c>
      <c r="J890" s="44">
        <v>90</v>
      </c>
      <c r="K890" s="44"/>
      <c r="L890" s="63">
        <v>90</v>
      </c>
      <c r="M890" s="64" t="s">
        <v>2216</v>
      </c>
      <c r="N890" s="2"/>
    </row>
    <row r="891" spans="1:14" ht="14.4">
      <c r="A891" s="42">
        <v>45877</v>
      </c>
      <c r="B891" s="61" t="s">
        <v>2361</v>
      </c>
      <c r="C891" s="39" t="s">
        <v>2362</v>
      </c>
      <c r="D891" s="20" t="s">
        <v>1035</v>
      </c>
      <c r="E891" s="54" t="s">
        <v>447</v>
      </c>
      <c r="F891" s="54" t="s">
        <v>463</v>
      </c>
      <c r="G891" s="23" t="s">
        <v>40</v>
      </c>
      <c r="H891" s="39" t="s">
        <v>2381</v>
      </c>
      <c r="I891" s="39" t="s">
        <v>1091</v>
      </c>
      <c r="J891" s="44">
        <v>1240</v>
      </c>
      <c r="K891" s="44"/>
      <c r="L891" s="63">
        <v>1240</v>
      </c>
      <c r="M891" s="64" t="s">
        <v>2216</v>
      </c>
      <c r="N891" s="2"/>
    </row>
    <row r="892" spans="1:14" ht="14.4">
      <c r="A892" s="42">
        <v>45877</v>
      </c>
      <c r="B892" s="61" t="s">
        <v>2382</v>
      </c>
      <c r="C892" s="39" t="s">
        <v>2383</v>
      </c>
      <c r="D892" s="20" t="s">
        <v>446</v>
      </c>
      <c r="E892" s="54" t="s">
        <v>447</v>
      </c>
      <c r="F892" s="54" t="s">
        <v>252</v>
      </c>
      <c r="G892" s="23" t="s">
        <v>23</v>
      </c>
      <c r="H892" s="39" t="s">
        <v>1889</v>
      </c>
      <c r="I892" s="39" t="s">
        <v>1091</v>
      </c>
      <c r="J892" s="44">
        <v>80</v>
      </c>
      <c r="K892" s="44"/>
      <c r="L892" s="63">
        <v>80</v>
      </c>
      <c r="M892" s="64" t="s">
        <v>2377</v>
      </c>
      <c r="N892" s="2"/>
    </row>
    <row r="893" spans="1:14" ht="14.4">
      <c r="A893" s="42">
        <v>45877</v>
      </c>
      <c r="B893" s="61" t="s">
        <v>1994</v>
      </c>
      <c r="C893" s="39" t="s">
        <v>2384</v>
      </c>
      <c r="D893" s="20" t="s">
        <v>1050</v>
      </c>
      <c r="E893" s="54" t="s">
        <v>447</v>
      </c>
      <c r="F893" s="54" t="s">
        <v>487</v>
      </c>
      <c r="G893" s="23" t="s">
        <v>40</v>
      </c>
      <c r="H893" s="39" t="s">
        <v>2385</v>
      </c>
      <c r="I893" s="39"/>
      <c r="J893" s="44">
        <v>430</v>
      </c>
      <c r="K893" s="44"/>
      <c r="L893" s="63">
        <v>430</v>
      </c>
      <c r="M893" s="64" t="s">
        <v>1381</v>
      </c>
      <c r="N893" s="2"/>
    </row>
    <row r="894" spans="1:14" ht="14.4">
      <c r="A894" s="42">
        <v>45877</v>
      </c>
      <c r="B894" s="61" t="s">
        <v>2386</v>
      </c>
      <c r="C894" s="39" t="s">
        <v>2387</v>
      </c>
      <c r="D894" s="20" t="s">
        <v>446</v>
      </c>
      <c r="E894" s="54" t="s">
        <v>447</v>
      </c>
      <c r="F894" s="54" t="s">
        <v>252</v>
      </c>
      <c r="G894" s="23" t="s">
        <v>23</v>
      </c>
      <c r="H894" s="39" t="s">
        <v>2388</v>
      </c>
      <c r="I894" s="39" t="s">
        <v>1220</v>
      </c>
      <c r="J894" s="44">
        <v>80</v>
      </c>
      <c r="K894" s="44"/>
      <c r="L894" s="63">
        <v>80</v>
      </c>
      <c r="M894" s="64" t="s">
        <v>2207</v>
      </c>
      <c r="N894" s="2"/>
    </row>
    <row r="895" spans="1:14" ht="14.4">
      <c r="A895" s="42">
        <v>45877</v>
      </c>
      <c r="B895" s="61" t="s">
        <v>2389</v>
      </c>
      <c r="C895" s="39" t="s">
        <v>2390</v>
      </c>
      <c r="D895" s="20" t="s">
        <v>974</v>
      </c>
      <c r="E895" s="54" t="s">
        <v>447</v>
      </c>
      <c r="F895" s="54" t="s">
        <v>463</v>
      </c>
      <c r="G895" s="23" t="s">
        <v>23</v>
      </c>
      <c r="H895" s="39" t="s">
        <v>1828</v>
      </c>
      <c r="I895" s="39" t="s">
        <v>1220</v>
      </c>
      <c r="J895" s="44">
        <v>120</v>
      </c>
      <c r="K895" s="44"/>
      <c r="L895" s="63">
        <v>120</v>
      </c>
      <c r="M895" s="64" t="s">
        <v>2207</v>
      </c>
      <c r="N895" s="2"/>
    </row>
    <row r="896" spans="1:14" ht="14.4">
      <c r="A896" s="42">
        <v>45877</v>
      </c>
      <c r="B896" s="61" t="s">
        <v>2303</v>
      </c>
      <c r="C896" s="39" t="s">
        <v>2391</v>
      </c>
      <c r="D896" s="20" t="s">
        <v>280</v>
      </c>
      <c r="E896" s="54" t="s">
        <v>447</v>
      </c>
      <c r="F896" s="54" t="s">
        <v>252</v>
      </c>
      <c r="G896" s="23" t="s">
        <v>23</v>
      </c>
      <c r="H896" s="39" t="s">
        <v>2392</v>
      </c>
      <c r="I896" s="39" t="s">
        <v>1060</v>
      </c>
      <c r="J896" s="44">
        <v>80</v>
      </c>
      <c r="K896" s="44"/>
      <c r="L896" s="63">
        <v>80</v>
      </c>
      <c r="M896" s="64" t="s">
        <v>2207</v>
      </c>
      <c r="N896" s="2"/>
    </row>
    <row r="897" spans="1:14" ht="14.4">
      <c r="A897" s="42">
        <v>45878</v>
      </c>
      <c r="B897" s="61" t="s">
        <v>2393</v>
      </c>
      <c r="C897" s="39" t="s">
        <v>2394</v>
      </c>
      <c r="D897" s="20" t="s">
        <v>985</v>
      </c>
      <c r="E897" s="54" t="s">
        <v>447</v>
      </c>
      <c r="F897" s="54" t="s">
        <v>253</v>
      </c>
      <c r="G897" s="23" t="s">
        <v>23</v>
      </c>
      <c r="H897" s="39" t="s">
        <v>2395</v>
      </c>
      <c r="I897" s="39" t="s">
        <v>1111</v>
      </c>
      <c r="J897" s="44">
        <v>189</v>
      </c>
      <c r="K897" s="44"/>
      <c r="L897" s="63">
        <v>189</v>
      </c>
      <c r="M897" s="64" t="s">
        <v>1381</v>
      </c>
      <c r="N897" s="2"/>
    </row>
    <row r="898" spans="1:14" ht="14.4">
      <c r="A898" s="42">
        <v>45878</v>
      </c>
      <c r="B898" s="61" t="s">
        <v>2396</v>
      </c>
      <c r="C898" s="39" t="s">
        <v>2390</v>
      </c>
      <c r="D898" s="20" t="s">
        <v>974</v>
      </c>
      <c r="E898" s="54" t="s">
        <v>519</v>
      </c>
      <c r="F898" s="54" t="s">
        <v>487</v>
      </c>
      <c r="G898" s="23" t="s">
        <v>40</v>
      </c>
      <c r="H898" s="39" t="s">
        <v>2268</v>
      </c>
      <c r="I898" s="39" t="s">
        <v>1220</v>
      </c>
      <c r="J898" s="44">
        <v>1140</v>
      </c>
      <c r="K898" s="44"/>
      <c r="L898" s="63">
        <v>1140</v>
      </c>
      <c r="M898" s="64" t="s">
        <v>2207</v>
      </c>
      <c r="N898" s="2"/>
    </row>
    <row r="899" spans="1:14" ht="14.4">
      <c r="A899" s="42">
        <v>45878</v>
      </c>
      <c r="B899" s="61" t="s">
        <v>2397</v>
      </c>
      <c r="C899" s="39" t="s">
        <v>2398</v>
      </c>
      <c r="D899" s="20" t="s">
        <v>1033</v>
      </c>
      <c r="E899" s="54" t="s">
        <v>447</v>
      </c>
      <c r="F899" s="54" t="s">
        <v>487</v>
      </c>
      <c r="G899" s="23" t="s">
        <v>40</v>
      </c>
      <c r="H899" s="39" t="s">
        <v>2399</v>
      </c>
      <c r="I899" s="39"/>
      <c r="J899" s="44">
        <v>890</v>
      </c>
      <c r="K899" s="44"/>
      <c r="L899" s="63">
        <v>890</v>
      </c>
      <c r="M899" s="64" t="s">
        <v>2216</v>
      </c>
      <c r="N899" s="2"/>
    </row>
    <row r="900" spans="1:14" ht="14.4">
      <c r="A900" s="42">
        <v>45878</v>
      </c>
      <c r="B900" s="61" t="s">
        <v>2400</v>
      </c>
      <c r="C900" s="39" t="s">
        <v>2401</v>
      </c>
      <c r="D900" s="20" t="s">
        <v>27</v>
      </c>
      <c r="E900" s="54" t="s">
        <v>447</v>
      </c>
      <c r="F900" s="54" t="s">
        <v>27</v>
      </c>
      <c r="G900" s="23" t="s">
        <v>27</v>
      </c>
      <c r="H900" s="39" t="s">
        <v>2310</v>
      </c>
      <c r="I900" s="39" t="s">
        <v>1325</v>
      </c>
      <c r="J900" s="44">
        <v>190</v>
      </c>
      <c r="K900" s="44"/>
      <c r="L900" s="63">
        <v>190</v>
      </c>
      <c r="M900" s="64" t="s">
        <v>2377</v>
      </c>
      <c r="N900" s="2"/>
    </row>
    <row r="901" spans="1:14" ht="14.4">
      <c r="A901" s="42">
        <v>45880</v>
      </c>
      <c r="B901" s="61" t="s">
        <v>2402</v>
      </c>
      <c r="C901" s="39" t="s">
        <v>2034</v>
      </c>
      <c r="D901" s="20" t="s">
        <v>1033</v>
      </c>
      <c r="E901" s="54" t="s">
        <v>447</v>
      </c>
      <c r="F901" s="54" t="s">
        <v>487</v>
      </c>
      <c r="G901" s="23" t="s">
        <v>40</v>
      </c>
      <c r="H901" s="39" t="s">
        <v>2403</v>
      </c>
      <c r="I901" s="39"/>
      <c r="J901" s="44">
        <v>2010</v>
      </c>
      <c r="K901" s="44"/>
      <c r="L901" s="63">
        <v>2010</v>
      </c>
      <c r="M901" s="64" t="s">
        <v>1381</v>
      </c>
      <c r="N901" s="2"/>
    </row>
    <row r="902" spans="1:14" ht="14.4">
      <c r="A902" s="42">
        <v>45880</v>
      </c>
      <c r="B902" s="61" t="s">
        <v>2404</v>
      </c>
      <c r="C902" s="39" t="s">
        <v>1995</v>
      </c>
      <c r="D902" s="20" t="s">
        <v>1050</v>
      </c>
      <c r="E902" s="54" t="s">
        <v>447</v>
      </c>
      <c r="F902" s="54" t="s">
        <v>487</v>
      </c>
      <c r="G902" s="23" t="s">
        <v>40</v>
      </c>
      <c r="H902" s="39" t="s">
        <v>2405</v>
      </c>
      <c r="I902" s="39"/>
      <c r="J902" s="44">
        <v>400</v>
      </c>
      <c r="K902" s="44"/>
      <c r="L902" s="63">
        <v>400</v>
      </c>
      <c r="M902" s="64" t="s">
        <v>1381</v>
      </c>
      <c r="N902" s="2"/>
    </row>
    <row r="903" spans="1:14" ht="14.4">
      <c r="A903" s="42">
        <v>45880</v>
      </c>
      <c r="B903" s="61" t="s">
        <v>2406</v>
      </c>
      <c r="C903" s="39" t="s">
        <v>2407</v>
      </c>
      <c r="D903" s="20" t="s">
        <v>974</v>
      </c>
      <c r="E903" s="54" t="s">
        <v>447</v>
      </c>
      <c r="F903" s="54" t="s">
        <v>463</v>
      </c>
      <c r="G903" s="23" t="s">
        <v>40</v>
      </c>
      <c r="H903" s="39" t="s">
        <v>2408</v>
      </c>
      <c r="I903" s="39" t="s">
        <v>1325</v>
      </c>
      <c r="J903" s="44">
        <v>120</v>
      </c>
      <c r="K903" s="44"/>
      <c r="L903" s="63">
        <v>120</v>
      </c>
      <c r="M903" s="64" t="s">
        <v>2207</v>
      </c>
      <c r="N903" s="2"/>
    </row>
    <row r="904" spans="1:14" ht="14.4">
      <c r="A904" s="42">
        <v>45880</v>
      </c>
      <c r="B904" s="61" t="s">
        <v>2409</v>
      </c>
      <c r="C904" s="39" t="s">
        <v>2410</v>
      </c>
      <c r="D904" s="20" t="s">
        <v>974</v>
      </c>
      <c r="E904" s="54" t="s">
        <v>447</v>
      </c>
      <c r="F904" s="54" t="s">
        <v>487</v>
      </c>
      <c r="G904" s="23" t="s">
        <v>40</v>
      </c>
      <c r="H904" s="39" t="s">
        <v>2411</v>
      </c>
      <c r="I904" s="39" t="s">
        <v>1173</v>
      </c>
      <c r="J904" s="44">
        <v>1767</v>
      </c>
      <c r="K904" s="44"/>
      <c r="L904" s="63">
        <v>1767</v>
      </c>
      <c r="M904" s="64" t="s">
        <v>2207</v>
      </c>
      <c r="N904" s="2"/>
    </row>
    <row r="905" spans="1:14" ht="14.4">
      <c r="A905" s="42">
        <v>45880</v>
      </c>
      <c r="B905" s="61" t="s">
        <v>2412</v>
      </c>
      <c r="C905" s="39" t="s">
        <v>2413</v>
      </c>
      <c r="D905" s="20" t="s">
        <v>864</v>
      </c>
      <c r="E905" s="54" t="s">
        <v>447</v>
      </c>
      <c r="F905" s="54" t="s">
        <v>25</v>
      </c>
      <c r="G905" s="23" t="s">
        <v>25</v>
      </c>
      <c r="H905" s="39" t="s">
        <v>2414</v>
      </c>
      <c r="I905" s="39" t="s">
        <v>1111</v>
      </c>
      <c r="J905" s="44">
        <v>5500</v>
      </c>
      <c r="K905" s="44"/>
      <c r="L905" s="63">
        <v>5500</v>
      </c>
      <c r="M905" s="64" t="s">
        <v>2207</v>
      </c>
      <c r="N905" s="2"/>
    </row>
    <row r="906" spans="1:14" ht="14.4">
      <c r="A906" s="42">
        <v>45880</v>
      </c>
      <c r="B906" s="61" t="s">
        <v>1950</v>
      </c>
      <c r="C906" s="39" t="s">
        <v>1951</v>
      </c>
      <c r="D906" s="20" t="s">
        <v>1254</v>
      </c>
      <c r="E906" s="54" t="s">
        <v>447</v>
      </c>
      <c r="F906" s="54" t="s">
        <v>252</v>
      </c>
      <c r="G906" s="23" t="s">
        <v>23</v>
      </c>
      <c r="H906" s="39" t="s">
        <v>1889</v>
      </c>
      <c r="I906" s="39"/>
      <c r="J906" s="44">
        <v>95</v>
      </c>
      <c r="K906" s="44"/>
      <c r="L906" s="63">
        <v>95</v>
      </c>
      <c r="M906" s="64" t="s">
        <v>2216</v>
      </c>
      <c r="N906" s="2"/>
    </row>
    <row r="907" spans="1:14" ht="14.4">
      <c r="A907" s="42">
        <v>45880</v>
      </c>
      <c r="B907" s="61" t="s">
        <v>2415</v>
      </c>
      <c r="C907" s="39" t="s">
        <v>2416</v>
      </c>
      <c r="D907" s="20" t="s">
        <v>1254</v>
      </c>
      <c r="E907" s="54" t="s">
        <v>447</v>
      </c>
      <c r="F907" s="54" t="s">
        <v>735</v>
      </c>
      <c r="G907" s="23" t="s">
        <v>23</v>
      </c>
      <c r="H907" s="39" t="s">
        <v>2417</v>
      </c>
      <c r="I907" s="39"/>
      <c r="J907" s="44">
        <v>110</v>
      </c>
      <c r="K907" s="44">
        <v>110</v>
      </c>
      <c r="L907" s="63">
        <v>220</v>
      </c>
      <c r="M907" s="64" t="s">
        <v>2216</v>
      </c>
      <c r="N907" s="2"/>
    </row>
    <row r="908" spans="1:14" ht="14.4">
      <c r="A908" s="42">
        <v>45880</v>
      </c>
      <c r="B908" s="61" t="s">
        <v>2418</v>
      </c>
      <c r="C908" s="39" t="s">
        <v>2419</v>
      </c>
      <c r="D908" s="20" t="s">
        <v>974</v>
      </c>
      <c r="E908" s="54" t="s">
        <v>519</v>
      </c>
      <c r="F908" s="54" t="s">
        <v>463</v>
      </c>
      <c r="G908" s="23" t="s">
        <v>40</v>
      </c>
      <c r="H908" s="39" t="s">
        <v>1828</v>
      </c>
      <c r="I908" s="39"/>
      <c r="J908" s="44">
        <v>90</v>
      </c>
      <c r="K908" s="44"/>
      <c r="L908" s="63">
        <v>90</v>
      </c>
      <c r="M908" s="64" t="s">
        <v>2207</v>
      </c>
      <c r="N908" s="2"/>
    </row>
    <row r="909" spans="1:14" ht="14.4">
      <c r="A909" s="42">
        <v>45880</v>
      </c>
      <c r="B909" s="61" t="s">
        <v>2420</v>
      </c>
      <c r="C909" s="39" t="s">
        <v>2421</v>
      </c>
      <c r="D909" s="20" t="s">
        <v>446</v>
      </c>
      <c r="E909" s="54" t="s">
        <v>447</v>
      </c>
      <c r="F909" s="54" t="s">
        <v>33</v>
      </c>
      <c r="G909" s="23" t="s">
        <v>23</v>
      </c>
      <c r="H909" s="39" t="s">
        <v>2380</v>
      </c>
      <c r="I909" s="39" t="s">
        <v>1220</v>
      </c>
      <c r="J909" s="44">
        <v>80</v>
      </c>
      <c r="K909" s="44"/>
      <c r="L909" s="63">
        <v>80</v>
      </c>
      <c r="M909" s="64" t="s">
        <v>2207</v>
      </c>
      <c r="N909" s="2"/>
    </row>
    <row r="910" spans="1:14" ht="14.4">
      <c r="A910" s="42">
        <v>45881</v>
      </c>
      <c r="B910" s="61" t="s">
        <v>2400</v>
      </c>
      <c r="C910" s="39" t="s">
        <v>2401</v>
      </c>
      <c r="D910" s="20" t="s">
        <v>27</v>
      </c>
      <c r="E910" s="54" t="s">
        <v>447</v>
      </c>
      <c r="F910" s="54" t="s">
        <v>27</v>
      </c>
      <c r="G910" s="23" t="s">
        <v>27</v>
      </c>
      <c r="H910" s="39" t="s">
        <v>2422</v>
      </c>
      <c r="I910" s="39"/>
      <c r="J910" s="44">
        <v>500</v>
      </c>
      <c r="K910" s="44"/>
      <c r="L910" s="63">
        <v>500</v>
      </c>
      <c r="M910" s="64" t="s">
        <v>2377</v>
      </c>
      <c r="N910" s="2"/>
    </row>
    <row r="911" spans="1:14" ht="14.4">
      <c r="A911" s="42">
        <v>45881</v>
      </c>
      <c r="B911" s="61" t="s">
        <v>2423</v>
      </c>
      <c r="C911" s="39" t="s">
        <v>2424</v>
      </c>
      <c r="D911" s="20" t="s">
        <v>985</v>
      </c>
      <c r="E911" s="54" t="s">
        <v>447</v>
      </c>
      <c r="F911" s="54" t="s">
        <v>253</v>
      </c>
      <c r="G911" s="23" t="s">
        <v>23</v>
      </c>
      <c r="H911" s="39" t="s">
        <v>2425</v>
      </c>
      <c r="I911" s="39"/>
      <c r="J911" s="44">
        <v>215</v>
      </c>
      <c r="K911" s="44"/>
      <c r="L911" s="63">
        <v>215</v>
      </c>
      <c r="M911" s="64" t="s">
        <v>2216</v>
      </c>
      <c r="N911" s="2"/>
    </row>
    <row r="912" spans="1:14" ht="14.4">
      <c r="A912" s="42">
        <v>45881</v>
      </c>
      <c r="B912" s="61" t="s">
        <v>2426</v>
      </c>
      <c r="C912" s="39" t="s">
        <v>2427</v>
      </c>
      <c r="D912" s="20" t="s">
        <v>1033</v>
      </c>
      <c r="E912" s="54" t="s">
        <v>447</v>
      </c>
      <c r="F912" s="54" t="s">
        <v>487</v>
      </c>
      <c r="G912" s="23" t="s">
        <v>40</v>
      </c>
      <c r="H912" s="39" t="s">
        <v>1828</v>
      </c>
      <c r="I912" s="39"/>
      <c r="J912" s="44">
        <v>360</v>
      </c>
      <c r="K912" s="44"/>
      <c r="L912" s="63">
        <v>360</v>
      </c>
      <c r="M912" s="64" t="s">
        <v>2216</v>
      </c>
      <c r="N912" s="2"/>
    </row>
    <row r="913" spans="1:14" ht="14.4">
      <c r="A913" s="42">
        <v>45881</v>
      </c>
      <c r="B913" s="61" t="s">
        <v>2418</v>
      </c>
      <c r="C913" s="39" t="s">
        <v>2419</v>
      </c>
      <c r="D913" s="20" t="s">
        <v>974</v>
      </c>
      <c r="E913" s="54" t="s">
        <v>447</v>
      </c>
      <c r="F913" s="54" t="s">
        <v>487</v>
      </c>
      <c r="G913" s="23" t="s">
        <v>40</v>
      </c>
      <c r="H913" s="39" t="s">
        <v>2428</v>
      </c>
      <c r="I913" s="39" t="s">
        <v>1197</v>
      </c>
      <c r="J913" s="44">
        <v>420</v>
      </c>
      <c r="K913" s="44"/>
      <c r="L913" s="63">
        <v>420</v>
      </c>
      <c r="M913" s="64" t="s">
        <v>2207</v>
      </c>
      <c r="N913" s="2"/>
    </row>
    <row r="914" spans="1:14" ht="14.4">
      <c r="A914" s="42">
        <v>45881</v>
      </c>
      <c r="B914" s="61" t="s">
        <v>2429</v>
      </c>
      <c r="C914" s="39" t="s">
        <v>2430</v>
      </c>
      <c r="D914" s="20" t="s">
        <v>985</v>
      </c>
      <c r="E914" s="54" t="s">
        <v>447</v>
      </c>
      <c r="F914" s="54" t="s">
        <v>283</v>
      </c>
      <c r="G914" s="23" t="s">
        <v>23</v>
      </c>
      <c r="H914" s="39" t="s">
        <v>2431</v>
      </c>
      <c r="I914" s="39" t="s">
        <v>1825</v>
      </c>
      <c r="J914" s="44">
        <v>330</v>
      </c>
      <c r="K914" s="44"/>
      <c r="L914" s="63">
        <v>330</v>
      </c>
      <c r="M914" s="64" t="s">
        <v>2207</v>
      </c>
      <c r="N914" s="2"/>
    </row>
    <row r="915" spans="1:14" ht="14.4">
      <c r="A915" s="42">
        <v>45881</v>
      </c>
      <c r="B915" s="61" t="s">
        <v>2432</v>
      </c>
      <c r="C915" s="39" t="s">
        <v>2267</v>
      </c>
      <c r="D915" s="20" t="s">
        <v>2433</v>
      </c>
      <c r="E915" s="54" t="s">
        <v>447</v>
      </c>
      <c r="F915" s="54" t="s">
        <v>487</v>
      </c>
      <c r="G915" s="23" t="s">
        <v>40</v>
      </c>
      <c r="H915" s="39" t="s">
        <v>2434</v>
      </c>
      <c r="I915" s="39"/>
      <c r="J915" s="44">
        <v>337</v>
      </c>
      <c r="K915" s="44"/>
      <c r="L915" s="63">
        <v>337</v>
      </c>
      <c r="M915" s="64" t="s">
        <v>1381</v>
      </c>
      <c r="N915" s="2"/>
    </row>
    <row r="916" spans="1:14" ht="14.4">
      <c r="A916" s="42">
        <v>45882</v>
      </c>
      <c r="B916" s="61" t="s">
        <v>2435</v>
      </c>
      <c r="C916" s="39" t="s">
        <v>2436</v>
      </c>
      <c r="D916" s="20" t="s">
        <v>280</v>
      </c>
      <c r="E916" s="54" t="s">
        <v>447</v>
      </c>
      <c r="F916" s="54" t="s">
        <v>33</v>
      </c>
      <c r="G916" s="23" t="s">
        <v>23</v>
      </c>
      <c r="H916" s="39" t="s">
        <v>2380</v>
      </c>
      <c r="I916" s="39" t="s">
        <v>1126</v>
      </c>
      <c r="J916" s="44">
        <v>80</v>
      </c>
      <c r="K916" s="44"/>
      <c r="L916" s="63">
        <v>80</v>
      </c>
      <c r="M916" s="64" t="s">
        <v>2377</v>
      </c>
      <c r="N916" s="2"/>
    </row>
    <row r="917" spans="1:14" ht="14.4">
      <c r="A917" s="42">
        <v>45882</v>
      </c>
      <c r="B917" s="61" t="s">
        <v>2437</v>
      </c>
      <c r="C917" s="39"/>
      <c r="D917" s="20" t="s">
        <v>446</v>
      </c>
      <c r="E917" s="54" t="s">
        <v>447</v>
      </c>
      <c r="F917" s="54" t="s">
        <v>33</v>
      </c>
      <c r="G917" s="23" t="s">
        <v>23</v>
      </c>
      <c r="H917" s="39" t="s">
        <v>2380</v>
      </c>
      <c r="I917" s="39" t="s">
        <v>1325</v>
      </c>
      <c r="J917" s="44">
        <v>90</v>
      </c>
      <c r="K917" s="44"/>
      <c r="L917" s="63">
        <v>90</v>
      </c>
      <c r="M917" s="64" t="s">
        <v>2216</v>
      </c>
      <c r="N917" s="2"/>
    </row>
    <row r="918" spans="1:14" ht="14.4">
      <c r="A918" s="42">
        <v>45882</v>
      </c>
      <c r="B918" s="61" t="s">
        <v>2438</v>
      </c>
      <c r="C918" s="39" t="s">
        <v>2439</v>
      </c>
      <c r="D918" s="20" t="s">
        <v>446</v>
      </c>
      <c r="E918" s="54" t="s">
        <v>447</v>
      </c>
      <c r="F918" s="54" t="s">
        <v>252</v>
      </c>
      <c r="G918" s="23" t="s">
        <v>23</v>
      </c>
      <c r="H918" s="39" t="s">
        <v>2440</v>
      </c>
      <c r="I918" s="39" t="s">
        <v>1111</v>
      </c>
      <c r="J918" s="44">
        <v>80</v>
      </c>
      <c r="K918" s="44"/>
      <c r="L918" s="63">
        <v>80</v>
      </c>
      <c r="M918" s="64" t="s">
        <v>2207</v>
      </c>
      <c r="N918" s="2"/>
    </row>
    <row r="919" spans="1:14" ht="14.4">
      <c r="A919" s="42">
        <v>45882</v>
      </c>
      <c r="B919" s="61" t="s">
        <v>2406</v>
      </c>
      <c r="C919" s="39" t="s">
        <v>2407</v>
      </c>
      <c r="D919" s="20" t="s">
        <v>974</v>
      </c>
      <c r="E919" s="54" t="s">
        <v>447</v>
      </c>
      <c r="F919" s="54" t="s">
        <v>463</v>
      </c>
      <c r="G919" s="23" t="s">
        <v>40</v>
      </c>
      <c r="H919" s="39" t="s">
        <v>1828</v>
      </c>
      <c r="I919" s="39" t="s">
        <v>1055</v>
      </c>
      <c r="J919" s="44">
        <v>120</v>
      </c>
      <c r="K919" s="44"/>
      <c r="L919" s="63">
        <v>120</v>
      </c>
      <c r="M919" s="64" t="s">
        <v>2207</v>
      </c>
      <c r="N919" s="2"/>
    </row>
    <row r="920" spans="1:14" ht="14.4">
      <c r="A920" s="42">
        <v>45883</v>
      </c>
      <c r="B920" s="61" t="s">
        <v>2441</v>
      </c>
      <c r="C920" s="39" t="s">
        <v>2442</v>
      </c>
      <c r="D920" s="20" t="s">
        <v>1254</v>
      </c>
      <c r="E920" s="54" t="s">
        <v>447</v>
      </c>
      <c r="F920" s="54" t="s">
        <v>252</v>
      </c>
      <c r="G920" s="23" t="s">
        <v>23</v>
      </c>
      <c r="H920" s="39" t="s">
        <v>2339</v>
      </c>
      <c r="I920" s="39" t="s">
        <v>1220</v>
      </c>
      <c r="J920" s="44">
        <v>200</v>
      </c>
      <c r="K920" s="44"/>
      <c r="L920" s="63">
        <v>200</v>
      </c>
      <c r="M920" s="64" t="s">
        <v>2207</v>
      </c>
      <c r="N920" s="2"/>
    </row>
    <row r="921" spans="1:14" ht="14.4">
      <c r="A921" s="42">
        <v>45883</v>
      </c>
      <c r="B921" s="61" t="s">
        <v>2443</v>
      </c>
      <c r="C921" s="39" t="s">
        <v>2444</v>
      </c>
      <c r="D921" s="20" t="s">
        <v>280</v>
      </c>
      <c r="E921" s="54" t="s">
        <v>519</v>
      </c>
      <c r="F921" s="54" t="s">
        <v>253</v>
      </c>
      <c r="G921" s="23" t="s">
        <v>23</v>
      </c>
      <c r="H921" s="39" t="s">
        <v>2445</v>
      </c>
      <c r="I921" s="39" t="s">
        <v>1446</v>
      </c>
      <c r="J921" s="44">
        <v>219</v>
      </c>
      <c r="K921" s="44"/>
      <c r="L921" s="63">
        <v>219</v>
      </c>
      <c r="M921" s="64" t="s">
        <v>2207</v>
      </c>
      <c r="N921" s="2"/>
    </row>
    <row r="922" spans="1:14" ht="14.4">
      <c r="A922" s="42">
        <v>45883</v>
      </c>
      <c r="B922" s="61" t="s">
        <v>2418</v>
      </c>
      <c r="C922" s="39" t="s">
        <v>2419</v>
      </c>
      <c r="D922" s="20" t="s">
        <v>974</v>
      </c>
      <c r="E922" s="54" t="s">
        <v>447</v>
      </c>
      <c r="F922" s="54" t="s">
        <v>487</v>
      </c>
      <c r="G922" s="23" t="s">
        <v>40</v>
      </c>
      <c r="H922" s="39" t="s">
        <v>2428</v>
      </c>
      <c r="I922" s="39" t="s">
        <v>1142</v>
      </c>
      <c r="J922" s="44">
        <v>420</v>
      </c>
      <c r="K922" s="44"/>
      <c r="L922" s="63">
        <v>420</v>
      </c>
      <c r="M922" s="64" t="s">
        <v>2207</v>
      </c>
      <c r="N922" s="2"/>
    </row>
    <row r="923" spans="1:14" ht="14.4">
      <c r="A923" s="42">
        <v>45883</v>
      </c>
      <c r="B923" s="61" t="s">
        <v>554</v>
      </c>
      <c r="C923" s="39" t="s">
        <v>2446</v>
      </c>
      <c r="D923" s="20" t="s">
        <v>27</v>
      </c>
      <c r="E923" s="54" t="s">
        <v>447</v>
      </c>
      <c r="F923" s="54" t="s">
        <v>27</v>
      </c>
      <c r="G923" s="23" t="s">
        <v>27</v>
      </c>
      <c r="H923" s="39" t="s">
        <v>2310</v>
      </c>
      <c r="I923" s="39" t="s">
        <v>1069</v>
      </c>
      <c r="J923" s="44">
        <v>320</v>
      </c>
      <c r="K923" s="44"/>
      <c r="L923" s="63">
        <v>320</v>
      </c>
      <c r="M923" s="64" t="s">
        <v>2207</v>
      </c>
      <c r="N923" s="2"/>
    </row>
    <row r="924" spans="1:14" ht="14.4">
      <c r="A924" s="42">
        <v>45883</v>
      </c>
      <c r="B924" s="61" t="s">
        <v>2447</v>
      </c>
      <c r="C924" s="39" t="s">
        <v>2166</v>
      </c>
      <c r="D924" s="20" t="s">
        <v>1035</v>
      </c>
      <c r="E924" s="54" t="s">
        <v>447</v>
      </c>
      <c r="F924" s="54" t="s">
        <v>487</v>
      </c>
      <c r="G924" s="23" t="s">
        <v>40</v>
      </c>
      <c r="H924" s="39" t="s">
        <v>2448</v>
      </c>
      <c r="I924" s="39"/>
      <c r="J924" s="44">
        <v>100</v>
      </c>
      <c r="K924" s="44"/>
      <c r="L924" s="63">
        <v>100</v>
      </c>
      <c r="M924" s="64" t="s">
        <v>1381</v>
      </c>
      <c r="N924" s="2"/>
    </row>
    <row r="925" spans="1:14" ht="14.4">
      <c r="A925" s="42">
        <v>45883</v>
      </c>
      <c r="B925" s="61" t="s">
        <v>2449</v>
      </c>
      <c r="C925" s="39" t="s">
        <v>2450</v>
      </c>
      <c r="D925" s="20" t="s">
        <v>280</v>
      </c>
      <c r="E925" s="54" t="s">
        <v>519</v>
      </c>
      <c r="F925" s="54" t="s">
        <v>252</v>
      </c>
      <c r="G925" s="23" t="s">
        <v>23</v>
      </c>
      <c r="H925" s="39" t="s">
        <v>2307</v>
      </c>
      <c r="I925" s="39" t="s">
        <v>1220</v>
      </c>
      <c r="J925" s="44">
        <v>1880</v>
      </c>
      <c r="K925" s="44"/>
      <c r="L925" s="63">
        <v>1880</v>
      </c>
      <c r="M925" s="64" t="s">
        <v>2207</v>
      </c>
      <c r="N925" s="2"/>
    </row>
    <row r="926" spans="1:14" ht="14.4">
      <c r="A926" s="42">
        <v>45883</v>
      </c>
      <c r="B926" s="61" t="s">
        <v>2451</v>
      </c>
      <c r="C926" s="39" t="s">
        <v>2452</v>
      </c>
      <c r="D926" s="20" t="s">
        <v>502</v>
      </c>
      <c r="E926" s="54" t="s">
        <v>447</v>
      </c>
      <c r="F926" s="54" t="s">
        <v>33</v>
      </c>
      <c r="G926" s="23" t="s">
        <v>23</v>
      </c>
      <c r="H926" s="39" t="s">
        <v>2380</v>
      </c>
      <c r="I926" s="39"/>
      <c r="J926" s="44">
        <v>80</v>
      </c>
      <c r="K926" s="44"/>
      <c r="L926" s="63">
        <v>80</v>
      </c>
      <c r="M926" s="64" t="s">
        <v>2207</v>
      </c>
      <c r="N926" s="2"/>
    </row>
    <row r="927" spans="1:14" ht="14.4">
      <c r="A927" s="42">
        <v>45883</v>
      </c>
      <c r="B927" s="61" t="s">
        <v>2453</v>
      </c>
      <c r="C927" s="39" t="s">
        <v>2454</v>
      </c>
      <c r="D927" s="20" t="s">
        <v>280</v>
      </c>
      <c r="E927" s="54" t="s">
        <v>447</v>
      </c>
      <c r="F927" s="54" t="s">
        <v>252</v>
      </c>
      <c r="G927" s="23" t="s">
        <v>23</v>
      </c>
      <c r="H927" s="39" t="s">
        <v>1889</v>
      </c>
      <c r="I927" s="39" t="s">
        <v>1446</v>
      </c>
      <c r="J927" s="44">
        <v>80</v>
      </c>
      <c r="K927" s="44"/>
      <c r="L927" s="63">
        <v>80</v>
      </c>
      <c r="M927" s="64" t="s">
        <v>2377</v>
      </c>
      <c r="N927" s="2"/>
    </row>
    <row r="928" spans="1:14" ht="14.4">
      <c r="A928" s="65">
        <v>45884</v>
      </c>
      <c r="B928" s="178" t="s">
        <v>2455</v>
      </c>
      <c r="C928" s="39" t="s">
        <v>2456</v>
      </c>
      <c r="D928" s="20" t="s">
        <v>280</v>
      </c>
      <c r="E928" s="54" t="s">
        <v>519</v>
      </c>
      <c r="F928" s="54" t="s">
        <v>22</v>
      </c>
      <c r="G928" s="23" t="s">
        <v>23</v>
      </c>
      <c r="H928" s="39" t="s">
        <v>2457</v>
      </c>
      <c r="I928" s="39" t="s">
        <v>1463</v>
      </c>
      <c r="J928" s="44">
        <v>84.5</v>
      </c>
      <c r="K928" s="44">
        <v>84.5</v>
      </c>
      <c r="L928" s="63">
        <v>169</v>
      </c>
      <c r="M928" s="64" t="s">
        <v>2377</v>
      </c>
      <c r="N928" s="2"/>
    </row>
    <row r="929" spans="1:14" ht="14.4">
      <c r="A929" s="65">
        <v>45884</v>
      </c>
      <c r="B929" s="178" t="s">
        <v>2458</v>
      </c>
      <c r="C929" s="39" t="s">
        <v>2459</v>
      </c>
      <c r="D929" s="20" t="s">
        <v>280</v>
      </c>
      <c r="E929" s="54" t="s">
        <v>519</v>
      </c>
      <c r="F929" s="54" t="s">
        <v>33</v>
      </c>
      <c r="G929" s="23" t="s">
        <v>23</v>
      </c>
      <c r="H929" s="39" t="s">
        <v>2380</v>
      </c>
      <c r="I929" s="39" t="s">
        <v>1085</v>
      </c>
      <c r="J929" s="44">
        <v>80</v>
      </c>
      <c r="K929" s="44"/>
      <c r="L929" s="63">
        <v>80</v>
      </c>
      <c r="M929" s="64" t="s">
        <v>2377</v>
      </c>
      <c r="N929" s="2"/>
    </row>
    <row r="930" spans="1:14" ht="14.4">
      <c r="A930" s="65">
        <v>45884</v>
      </c>
      <c r="B930" s="178" t="s">
        <v>2460</v>
      </c>
      <c r="C930" s="39" t="s">
        <v>2461</v>
      </c>
      <c r="D930" s="20" t="s">
        <v>992</v>
      </c>
      <c r="E930" s="54" t="s">
        <v>447</v>
      </c>
      <c r="F930" s="54" t="s">
        <v>56</v>
      </c>
      <c r="G930" s="23" t="s">
        <v>56</v>
      </c>
      <c r="H930" s="39" t="s">
        <v>2462</v>
      </c>
      <c r="I930" s="39"/>
      <c r="J930" s="44">
        <v>50</v>
      </c>
      <c r="K930" s="44"/>
      <c r="L930" s="63">
        <v>50</v>
      </c>
      <c r="M930" s="64" t="s">
        <v>2216</v>
      </c>
      <c r="N930" s="2"/>
    </row>
    <row r="931" spans="1:14" ht="14.4">
      <c r="A931" s="65">
        <v>45884</v>
      </c>
      <c r="B931" s="178" t="s">
        <v>2463</v>
      </c>
      <c r="C931" s="39" t="s">
        <v>2464</v>
      </c>
      <c r="D931" s="20" t="s">
        <v>864</v>
      </c>
      <c r="E931" s="54" t="s">
        <v>519</v>
      </c>
      <c r="F931" s="54" t="s">
        <v>25</v>
      </c>
      <c r="G931" s="23" t="s">
        <v>25</v>
      </c>
      <c r="H931" s="39" t="s">
        <v>231</v>
      </c>
      <c r="I931" s="39" t="s">
        <v>1085</v>
      </c>
      <c r="J931" s="44">
        <v>750</v>
      </c>
      <c r="K931" s="44"/>
      <c r="L931" s="63">
        <v>750</v>
      </c>
      <c r="M931" s="64" t="s">
        <v>2207</v>
      </c>
      <c r="N931" s="2"/>
    </row>
    <row r="932" spans="1:14" ht="14.4">
      <c r="A932" s="65">
        <v>45885</v>
      </c>
      <c r="B932" s="178" t="s">
        <v>2455</v>
      </c>
      <c r="C932" s="39" t="s">
        <v>2456</v>
      </c>
      <c r="D932" s="20" t="s">
        <v>280</v>
      </c>
      <c r="E932" s="54" t="s">
        <v>1558</v>
      </c>
      <c r="F932" s="54" t="s">
        <v>22</v>
      </c>
      <c r="G932" s="23" t="s">
        <v>23</v>
      </c>
      <c r="H932" s="39" t="s">
        <v>2465</v>
      </c>
      <c r="I932" s="39" t="s">
        <v>1463</v>
      </c>
      <c r="J932" s="44">
        <v>99.5</v>
      </c>
      <c r="K932" s="44">
        <v>100</v>
      </c>
      <c r="L932" s="63">
        <v>199.5</v>
      </c>
      <c r="M932" s="64" t="s">
        <v>2377</v>
      </c>
      <c r="N932" s="2"/>
    </row>
    <row r="933" spans="1:14" ht="14.4">
      <c r="A933" s="65">
        <v>45885</v>
      </c>
      <c r="B933" s="178" t="s">
        <v>2466</v>
      </c>
      <c r="C933" s="39" t="s">
        <v>2467</v>
      </c>
      <c r="D933" s="20" t="s">
        <v>280</v>
      </c>
      <c r="E933" s="54" t="s">
        <v>519</v>
      </c>
      <c r="F933" s="54" t="s">
        <v>33</v>
      </c>
      <c r="G933" s="23" t="s">
        <v>23</v>
      </c>
      <c r="H933" s="39" t="s">
        <v>2380</v>
      </c>
      <c r="I933" s="39" t="s">
        <v>1194</v>
      </c>
      <c r="J933" s="44">
        <v>60</v>
      </c>
      <c r="K933" s="44"/>
      <c r="L933" s="63">
        <v>60</v>
      </c>
      <c r="M933" s="64" t="s">
        <v>2216</v>
      </c>
      <c r="N933" s="2"/>
    </row>
    <row r="934" spans="1:14" ht="14.4">
      <c r="A934" s="65">
        <v>45885</v>
      </c>
      <c r="B934" s="178" t="s">
        <v>2468</v>
      </c>
      <c r="C934" s="39" t="s">
        <v>1928</v>
      </c>
      <c r="D934" s="20" t="s">
        <v>280</v>
      </c>
      <c r="E934" s="54" t="s">
        <v>447</v>
      </c>
      <c r="F934" s="54" t="s">
        <v>252</v>
      </c>
      <c r="G934" s="23" t="s">
        <v>23</v>
      </c>
      <c r="H934" s="39" t="s">
        <v>2469</v>
      </c>
      <c r="I934" s="39" t="s">
        <v>1159</v>
      </c>
      <c r="J934" s="44">
        <v>75</v>
      </c>
      <c r="K934" s="44">
        <v>75</v>
      </c>
      <c r="L934" s="63">
        <v>150</v>
      </c>
      <c r="M934" s="64" t="s">
        <v>2216</v>
      </c>
      <c r="N934" s="2"/>
    </row>
    <row r="935" spans="1:14" ht="14.4">
      <c r="A935" s="65">
        <v>45887</v>
      </c>
      <c r="B935" s="178" t="s">
        <v>2470</v>
      </c>
      <c r="C935" s="39" t="s">
        <v>2471</v>
      </c>
      <c r="D935" s="20" t="s">
        <v>502</v>
      </c>
      <c r="E935" s="54" t="s">
        <v>447</v>
      </c>
      <c r="F935" s="54" t="s">
        <v>33</v>
      </c>
      <c r="G935" s="23" t="s">
        <v>23</v>
      </c>
      <c r="H935" s="39" t="s">
        <v>2472</v>
      </c>
      <c r="I935" s="39" t="s">
        <v>1173</v>
      </c>
      <c r="J935" s="44">
        <v>100</v>
      </c>
      <c r="K935" s="44">
        <v>99</v>
      </c>
      <c r="L935" s="63">
        <v>199</v>
      </c>
      <c r="M935" s="64" t="s">
        <v>2377</v>
      </c>
      <c r="N935" s="2"/>
    </row>
    <row r="936" spans="1:14" ht="14.4">
      <c r="A936" s="65">
        <v>45887</v>
      </c>
      <c r="B936" s="178" t="s">
        <v>2473</v>
      </c>
      <c r="C936" s="39" t="s">
        <v>2474</v>
      </c>
      <c r="D936" s="20" t="s">
        <v>280</v>
      </c>
      <c r="E936" s="54" t="s">
        <v>447</v>
      </c>
      <c r="F936" s="54" t="s">
        <v>33</v>
      </c>
      <c r="G936" s="23" t="s">
        <v>23</v>
      </c>
      <c r="H936" s="39" t="s">
        <v>2380</v>
      </c>
      <c r="I936" s="39" t="s">
        <v>1111</v>
      </c>
      <c r="J936" s="44">
        <v>80</v>
      </c>
      <c r="K936" s="44"/>
      <c r="L936" s="63">
        <v>80</v>
      </c>
      <c r="M936" s="64" t="s">
        <v>2207</v>
      </c>
      <c r="N936" s="2"/>
    </row>
    <row r="937" spans="1:14" ht="14.4">
      <c r="A937" s="65">
        <v>45887</v>
      </c>
      <c r="B937" s="178" t="s">
        <v>2475</v>
      </c>
      <c r="C937" s="39" t="s">
        <v>2476</v>
      </c>
      <c r="D937" s="20" t="s">
        <v>985</v>
      </c>
      <c r="E937" s="54" t="s">
        <v>447</v>
      </c>
      <c r="F937" s="54" t="s">
        <v>253</v>
      </c>
      <c r="G937" s="23" t="s">
        <v>23</v>
      </c>
      <c r="H937" s="39" t="s">
        <v>2477</v>
      </c>
      <c r="I937" s="39" t="s">
        <v>1111</v>
      </c>
      <c r="J937" s="44">
        <v>530</v>
      </c>
      <c r="K937" s="44"/>
      <c r="L937" s="63">
        <v>530</v>
      </c>
      <c r="M937" s="64" t="s">
        <v>2207</v>
      </c>
      <c r="N937" s="2"/>
    </row>
    <row r="938" spans="1:14" ht="14.4">
      <c r="A938" s="65">
        <v>45887</v>
      </c>
      <c r="B938" s="178" t="s">
        <v>2478</v>
      </c>
      <c r="C938" s="39" t="s">
        <v>2479</v>
      </c>
      <c r="D938" s="20" t="s">
        <v>502</v>
      </c>
      <c r="E938" s="54" t="s">
        <v>447</v>
      </c>
      <c r="F938" s="54" t="s">
        <v>33</v>
      </c>
      <c r="G938" s="23" t="s">
        <v>23</v>
      </c>
      <c r="H938" s="39" t="s">
        <v>2380</v>
      </c>
      <c r="I938" s="39" t="s">
        <v>1173</v>
      </c>
      <c r="J938" s="44">
        <v>80</v>
      </c>
      <c r="K938" s="44"/>
      <c r="L938" s="63">
        <v>80</v>
      </c>
      <c r="M938" s="64" t="s">
        <v>2207</v>
      </c>
      <c r="N938" s="2"/>
    </row>
    <row r="939" spans="1:14" ht="14.4">
      <c r="A939" s="65">
        <v>45887</v>
      </c>
      <c r="B939" s="178" t="s">
        <v>2480</v>
      </c>
      <c r="C939" s="39" t="s">
        <v>2481</v>
      </c>
      <c r="D939" s="20" t="s">
        <v>1254</v>
      </c>
      <c r="E939" s="54" t="s">
        <v>447</v>
      </c>
      <c r="F939" s="54" t="s">
        <v>252</v>
      </c>
      <c r="G939" s="23" t="s">
        <v>23</v>
      </c>
      <c r="H939" s="39" t="s">
        <v>2482</v>
      </c>
      <c r="I939" s="39" t="s">
        <v>1111</v>
      </c>
      <c r="J939" s="44">
        <v>80</v>
      </c>
      <c r="K939" s="44"/>
      <c r="L939" s="63">
        <v>80</v>
      </c>
      <c r="M939" s="64" t="s">
        <v>2207</v>
      </c>
      <c r="N939" s="2"/>
    </row>
    <row r="940" spans="1:14" ht="14.4">
      <c r="A940" s="65">
        <v>45887</v>
      </c>
      <c r="B940" s="178" t="s">
        <v>2483</v>
      </c>
      <c r="C940" s="39" t="s">
        <v>2484</v>
      </c>
      <c r="D940" s="20" t="s">
        <v>446</v>
      </c>
      <c r="E940" s="54" t="s">
        <v>447</v>
      </c>
      <c r="F940" s="54" t="s">
        <v>252</v>
      </c>
      <c r="G940" s="23" t="s">
        <v>23</v>
      </c>
      <c r="H940" s="39" t="s">
        <v>2482</v>
      </c>
      <c r="I940" s="39" t="s">
        <v>1111</v>
      </c>
      <c r="J940" s="44">
        <v>80</v>
      </c>
      <c r="K940" s="44"/>
      <c r="L940" s="63">
        <v>80</v>
      </c>
      <c r="M940" s="64" t="s">
        <v>2207</v>
      </c>
      <c r="N940" s="2"/>
    </row>
    <row r="941" spans="1:14" ht="14.4">
      <c r="A941" s="65">
        <v>45888</v>
      </c>
      <c r="B941" s="178" t="s">
        <v>2485</v>
      </c>
      <c r="C941" s="39" t="s">
        <v>2486</v>
      </c>
      <c r="D941" s="20" t="s">
        <v>446</v>
      </c>
      <c r="E941" s="54" t="s">
        <v>447</v>
      </c>
      <c r="F941" s="54" t="s">
        <v>252</v>
      </c>
      <c r="G941" s="23" t="s">
        <v>23</v>
      </c>
      <c r="H941" s="39" t="s">
        <v>2482</v>
      </c>
      <c r="I941" s="39" t="s">
        <v>1085</v>
      </c>
      <c r="J941" s="44">
        <v>80</v>
      </c>
      <c r="K941" s="44"/>
      <c r="L941" s="63">
        <v>80</v>
      </c>
      <c r="M941" s="64" t="s">
        <v>2377</v>
      </c>
      <c r="N941" s="2"/>
    </row>
    <row r="942" spans="1:14" ht="14.4">
      <c r="A942" s="65">
        <v>45888</v>
      </c>
      <c r="B942" s="178" t="s">
        <v>2487</v>
      </c>
      <c r="C942" s="39" t="s">
        <v>2488</v>
      </c>
      <c r="D942" s="20" t="s">
        <v>1050</v>
      </c>
      <c r="E942" s="54" t="s">
        <v>447</v>
      </c>
      <c r="F942" s="54" t="s">
        <v>463</v>
      </c>
      <c r="G942" s="23" t="s">
        <v>40</v>
      </c>
      <c r="H942" s="39" t="s">
        <v>1828</v>
      </c>
      <c r="I942" s="39" t="s">
        <v>1194</v>
      </c>
      <c r="J942" s="44">
        <v>150</v>
      </c>
      <c r="K942" s="44"/>
      <c r="L942" s="63">
        <v>150</v>
      </c>
      <c r="M942" s="64" t="s">
        <v>2216</v>
      </c>
      <c r="N942" s="2"/>
    </row>
    <row r="943" spans="1:14" ht="14.4">
      <c r="A943" s="65">
        <v>45888</v>
      </c>
      <c r="B943" s="178" t="s">
        <v>2489</v>
      </c>
      <c r="C943" s="39" t="s">
        <v>2490</v>
      </c>
      <c r="D943" s="20" t="s">
        <v>1033</v>
      </c>
      <c r="E943" s="54" t="s">
        <v>447</v>
      </c>
      <c r="F943" s="54" t="s">
        <v>487</v>
      </c>
      <c r="G943" s="23" t="s">
        <v>40</v>
      </c>
      <c r="H943" s="39" t="s">
        <v>2491</v>
      </c>
      <c r="I943" s="39"/>
      <c r="J943" s="44">
        <v>2647.5</v>
      </c>
      <c r="K943" s="44"/>
      <c r="L943" s="63">
        <v>2647.5</v>
      </c>
      <c r="M943" s="64" t="s">
        <v>1381</v>
      </c>
      <c r="N943" s="2"/>
    </row>
    <row r="944" spans="1:14" ht="14.4">
      <c r="A944" s="65">
        <v>45888</v>
      </c>
      <c r="B944" s="178" t="s">
        <v>2492</v>
      </c>
      <c r="C944" s="39" t="s">
        <v>2493</v>
      </c>
      <c r="D944" s="20" t="s">
        <v>280</v>
      </c>
      <c r="E944" s="54" t="s">
        <v>447</v>
      </c>
      <c r="F944" s="54" t="s">
        <v>252</v>
      </c>
      <c r="G944" s="23" t="s">
        <v>23</v>
      </c>
      <c r="H944" s="39" t="s">
        <v>2494</v>
      </c>
      <c r="I944" s="39" t="s">
        <v>1173</v>
      </c>
      <c r="J944" s="44">
        <v>150</v>
      </c>
      <c r="K944" s="44"/>
      <c r="L944" s="63">
        <v>150</v>
      </c>
      <c r="M944" s="64" t="s">
        <v>2207</v>
      </c>
      <c r="N944" s="2"/>
    </row>
    <row r="945" spans="1:14" ht="14.4">
      <c r="A945" s="65">
        <v>45888</v>
      </c>
      <c r="B945" s="61" t="s">
        <v>2495</v>
      </c>
      <c r="C945" s="39" t="s">
        <v>2496</v>
      </c>
      <c r="D945" s="20" t="s">
        <v>974</v>
      </c>
      <c r="E945" s="54" t="s">
        <v>447</v>
      </c>
      <c r="F945" s="54" t="s">
        <v>463</v>
      </c>
      <c r="G945" s="23" t="s">
        <v>40</v>
      </c>
      <c r="H945" s="39" t="s">
        <v>1828</v>
      </c>
      <c r="I945" s="39" t="s">
        <v>1299</v>
      </c>
      <c r="J945" s="44">
        <v>128</v>
      </c>
      <c r="K945" s="44"/>
      <c r="L945" s="63">
        <v>128</v>
      </c>
      <c r="M945" s="64" t="s">
        <v>2207</v>
      </c>
      <c r="N945" s="2"/>
    </row>
    <row r="946" spans="1:14" ht="14.4">
      <c r="A946" s="42">
        <v>45888</v>
      </c>
      <c r="B946" s="61" t="s">
        <v>2497</v>
      </c>
      <c r="C946" s="39" t="s">
        <v>2498</v>
      </c>
      <c r="D946" s="20" t="s">
        <v>446</v>
      </c>
      <c r="E946" s="54" t="s">
        <v>447</v>
      </c>
      <c r="F946" s="54" t="s">
        <v>252</v>
      </c>
      <c r="G946" s="23" t="s">
        <v>23</v>
      </c>
      <c r="H946" s="39" t="s">
        <v>789</v>
      </c>
      <c r="I946" s="39" t="s">
        <v>1085</v>
      </c>
      <c r="J946" s="44">
        <v>80</v>
      </c>
      <c r="K946" s="44"/>
      <c r="L946" s="63">
        <v>80</v>
      </c>
      <c r="M946" s="64" t="s">
        <v>2207</v>
      </c>
      <c r="N946" s="2"/>
    </row>
    <row r="947" spans="1:14" ht="14.4">
      <c r="A947" s="42">
        <v>45888</v>
      </c>
      <c r="B947" s="61" t="s">
        <v>2499</v>
      </c>
      <c r="C947" s="39" t="s">
        <v>2500</v>
      </c>
      <c r="D947" s="20" t="s">
        <v>974</v>
      </c>
      <c r="E947" s="54" t="s">
        <v>447</v>
      </c>
      <c r="F947" s="54" t="s">
        <v>463</v>
      </c>
      <c r="G947" s="23" t="s">
        <v>40</v>
      </c>
      <c r="H947" s="39" t="s">
        <v>1828</v>
      </c>
      <c r="I947" s="39" t="s">
        <v>1194</v>
      </c>
      <c r="J947" s="44">
        <v>90</v>
      </c>
      <c r="K947" s="44"/>
      <c r="L947" s="63">
        <v>90</v>
      </c>
      <c r="M947" s="64" t="s">
        <v>2216</v>
      </c>
      <c r="N947" s="2"/>
    </row>
    <row r="948" spans="1:14" ht="14.4">
      <c r="A948" s="42">
        <v>45889</v>
      </c>
      <c r="B948" s="61" t="s">
        <v>2478</v>
      </c>
      <c r="C948" s="39"/>
      <c r="D948" s="20" t="s">
        <v>502</v>
      </c>
      <c r="E948" s="54" t="s">
        <v>447</v>
      </c>
      <c r="F948" s="54" t="s">
        <v>252</v>
      </c>
      <c r="G948" s="23" t="s">
        <v>23</v>
      </c>
      <c r="H948" s="39" t="s">
        <v>2501</v>
      </c>
      <c r="I948" s="39" t="s">
        <v>1173</v>
      </c>
      <c r="J948" s="44">
        <v>1200</v>
      </c>
      <c r="K948" s="44"/>
      <c r="L948" s="63">
        <v>1200</v>
      </c>
      <c r="M948" s="64" t="s">
        <v>2207</v>
      </c>
      <c r="N948" s="2"/>
    </row>
    <row r="949" spans="1:14" ht="14.4">
      <c r="A949" s="42">
        <v>45889</v>
      </c>
      <c r="B949" s="61" t="s">
        <v>2502</v>
      </c>
      <c r="C949" s="39"/>
      <c r="D949" s="20" t="s">
        <v>1035</v>
      </c>
      <c r="E949" s="54" t="s">
        <v>447</v>
      </c>
      <c r="F949" s="54" t="s">
        <v>487</v>
      </c>
      <c r="G949" s="23" t="s">
        <v>40</v>
      </c>
      <c r="H949" s="39" t="s">
        <v>2428</v>
      </c>
      <c r="I949" s="39" t="s">
        <v>1325</v>
      </c>
      <c r="J949" s="44">
        <v>840</v>
      </c>
      <c r="K949" s="44"/>
      <c r="L949" s="63">
        <v>840</v>
      </c>
      <c r="M949" s="64" t="s">
        <v>2207</v>
      </c>
      <c r="N949" s="2"/>
    </row>
    <row r="950" spans="1:14" ht="14.4">
      <c r="A950" s="42">
        <v>45889</v>
      </c>
      <c r="B950" s="178" t="s">
        <v>2475</v>
      </c>
      <c r="C950" s="39" t="s">
        <v>2476</v>
      </c>
      <c r="D950" s="20" t="s">
        <v>985</v>
      </c>
      <c r="E950" s="54" t="s">
        <v>447</v>
      </c>
      <c r="F950" s="54" t="s">
        <v>22</v>
      </c>
      <c r="G950" s="23" t="s">
        <v>23</v>
      </c>
      <c r="H950" s="39" t="s">
        <v>2503</v>
      </c>
      <c r="I950" s="39" t="s">
        <v>1111</v>
      </c>
      <c r="J950" s="44">
        <v>739</v>
      </c>
      <c r="K950" s="44"/>
      <c r="L950" s="63">
        <v>739</v>
      </c>
      <c r="M950" s="64" t="s">
        <v>2207</v>
      </c>
      <c r="N950" s="2"/>
    </row>
    <row r="951" spans="1:14" ht="14.4">
      <c r="A951" s="42">
        <v>45889</v>
      </c>
      <c r="B951" s="61" t="s">
        <v>2483</v>
      </c>
      <c r="C951" s="39" t="s">
        <v>2484</v>
      </c>
      <c r="D951" s="20" t="s">
        <v>446</v>
      </c>
      <c r="E951" s="54" t="s">
        <v>447</v>
      </c>
      <c r="F951" s="54" t="s">
        <v>252</v>
      </c>
      <c r="G951" s="23" t="s">
        <v>23</v>
      </c>
      <c r="H951" s="39" t="s">
        <v>2504</v>
      </c>
      <c r="I951" s="39" t="s">
        <v>1111</v>
      </c>
      <c r="J951" s="44">
        <v>240</v>
      </c>
      <c r="K951" s="44"/>
      <c r="L951" s="63">
        <v>240</v>
      </c>
      <c r="M951" s="64" t="s">
        <v>2207</v>
      </c>
      <c r="N951" s="2"/>
    </row>
    <row r="952" spans="1:14" ht="14.4">
      <c r="A952" s="42">
        <v>45889</v>
      </c>
      <c r="B952" s="61" t="s">
        <v>2505</v>
      </c>
      <c r="C952" s="39" t="s">
        <v>2506</v>
      </c>
      <c r="D952" s="20" t="s">
        <v>2433</v>
      </c>
      <c r="E952" s="54" t="s">
        <v>447</v>
      </c>
      <c r="F952" s="54" t="s">
        <v>487</v>
      </c>
      <c r="G952" s="23" t="s">
        <v>40</v>
      </c>
      <c r="H952" s="39" t="s">
        <v>2507</v>
      </c>
      <c r="I952" s="39" t="s">
        <v>1164</v>
      </c>
      <c r="J952" s="44">
        <v>330</v>
      </c>
      <c r="K952" s="44"/>
      <c r="L952" s="63">
        <v>330</v>
      </c>
      <c r="M952" s="64" t="s">
        <v>2216</v>
      </c>
      <c r="N952" s="2"/>
    </row>
    <row r="953" spans="1:14" ht="14.4">
      <c r="A953" s="42">
        <v>45889</v>
      </c>
      <c r="B953" s="61" t="s">
        <v>2508</v>
      </c>
      <c r="C953" s="39" t="s">
        <v>2509</v>
      </c>
      <c r="D953" s="20" t="s">
        <v>1254</v>
      </c>
      <c r="E953" s="54" t="s">
        <v>447</v>
      </c>
      <c r="F953" s="54" t="s">
        <v>252</v>
      </c>
      <c r="G953" s="23" t="s">
        <v>23</v>
      </c>
      <c r="H953" s="39" t="s">
        <v>2482</v>
      </c>
      <c r="I953" s="39" t="s">
        <v>1111</v>
      </c>
      <c r="J953" s="44">
        <v>80</v>
      </c>
      <c r="K953" s="44"/>
      <c r="L953" s="63">
        <v>80</v>
      </c>
      <c r="M953" s="64" t="s">
        <v>2377</v>
      </c>
      <c r="N953" s="2"/>
    </row>
    <row r="954" spans="1:14" ht="14.4">
      <c r="A954" s="42">
        <v>45890</v>
      </c>
      <c r="B954" s="61" t="s">
        <v>2510</v>
      </c>
      <c r="C954" s="39" t="s">
        <v>2511</v>
      </c>
      <c r="D954" s="20" t="s">
        <v>2365</v>
      </c>
      <c r="E954" s="54" t="s">
        <v>447</v>
      </c>
      <c r="F954" s="54" t="s">
        <v>463</v>
      </c>
      <c r="G954" s="23" t="s">
        <v>40</v>
      </c>
      <c r="H954" s="39" t="s">
        <v>1828</v>
      </c>
      <c r="I954" s="39" t="s">
        <v>1121</v>
      </c>
      <c r="J954" s="44">
        <v>100</v>
      </c>
      <c r="K954" s="44"/>
      <c r="L954" s="63">
        <v>100</v>
      </c>
      <c r="M954" s="64" t="s">
        <v>2216</v>
      </c>
      <c r="N954" s="2"/>
    </row>
    <row r="955" spans="1:14" ht="14.4">
      <c r="A955" s="42">
        <v>45891</v>
      </c>
      <c r="B955" s="61" t="s">
        <v>2512</v>
      </c>
      <c r="C955" s="39" t="s">
        <v>2513</v>
      </c>
      <c r="D955" s="20" t="s">
        <v>27</v>
      </c>
      <c r="E955" s="54" t="s">
        <v>447</v>
      </c>
      <c r="F955" s="54" t="s">
        <v>27</v>
      </c>
      <c r="G955" s="23" t="s">
        <v>27</v>
      </c>
      <c r="H955" s="39" t="s">
        <v>2514</v>
      </c>
      <c r="I955" s="39"/>
      <c r="J955" s="44">
        <v>390</v>
      </c>
      <c r="K955" s="44"/>
      <c r="L955" s="63">
        <v>390</v>
      </c>
      <c r="M955" s="64" t="s">
        <v>2207</v>
      </c>
      <c r="N955" s="2"/>
    </row>
    <row r="956" spans="1:14" ht="14.4">
      <c r="A956" s="42">
        <v>45889</v>
      </c>
      <c r="B956" s="61" t="s">
        <v>2515</v>
      </c>
      <c r="C956" s="39" t="s">
        <v>2516</v>
      </c>
      <c r="D956" s="20" t="s">
        <v>502</v>
      </c>
      <c r="E956" s="54" t="s">
        <v>447</v>
      </c>
      <c r="F956" s="54" t="s">
        <v>33</v>
      </c>
      <c r="G956" s="23" t="s">
        <v>23</v>
      </c>
      <c r="H956" s="39" t="s">
        <v>2517</v>
      </c>
      <c r="I956" s="39" t="s">
        <v>1159</v>
      </c>
      <c r="J956" s="44">
        <v>80</v>
      </c>
      <c r="K956" s="44"/>
      <c r="L956" s="63">
        <v>80</v>
      </c>
      <c r="M956" s="64" t="s">
        <v>2377</v>
      </c>
      <c r="N956" s="2"/>
    </row>
    <row r="957" spans="1:14" ht="14.4">
      <c r="A957" s="42">
        <v>45890</v>
      </c>
      <c r="B957" s="61" t="s">
        <v>2518</v>
      </c>
      <c r="C957" s="39" t="s">
        <v>2519</v>
      </c>
      <c r="D957" s="20" t="s">
        <v>280</v>
      </c>
      <c r="E957" s="54" t="s">
        <v>519</v>
      </c>
      <c r="F957" s="54" t="s">
        <v>252</v>
      </c>
      <c r="G957" s="23" t="s">
        <v>23</v>
      </c>
      <c r="H957" s="39" t="s">
        <v>2520</v>
      </c>
      <c r="I957" s="39" t="s">
        <v>1091</v>
      </c>
      <c r="J957" s="44">
        <v>200</v>
      </c>
      <c r="K957" s="44"/>
      <c r="L957" s="63">
        <v>200</v>
      </c>
      <c r="M957" s="64" t="s">
        <v>2377</v>
      </c>
      <c r="N957" s="2"/>
    </row>
    <row r="958" spans="1:14" ht="14.4">
      <c r="A958" s="42">
        <v>45891</v>
      </c>
      <c r="B958" s="61" t="s">
        <v>2521</v>
      </c>
      <c r="C958" s="39" t="s">
        <v>2522</v>
      </c>
      <c r="D958" s="20" t="s">
        <v>864</v>
      </c>
      <c r="E958" s="54" t="s">
        <v>447</v>
      </c>
      <c r="F958" s="54" t="s">
        <v>25</v>
      </c>
      <c r="G958" s="23" t="s">
        <v>25</v>
      </c>
      <c r="H958" s="39" t="s">
        <v>2523</v>
      </c>
      <c r="I958" s="39"/>
      <c r="J958" s="44">
        <v>588</v>
      </c>
      <c r="K958" s="44"/>
      <c r="L958" s="63">
        <v>588</v>
      </c>
      <c r="M958" s="64" t="s">
        <v>2216</v>
      </c>
      <c r="N958" s="2"/>
    </row>
    <row r="959" spans="1:14" ht="14.4">
      <c r="A959" s="42">
        <v>45891</v>
      </c>
      <c r="B959" s="61" t="s">
        <v>2524</v>
      </c>
      <c r="C959" s="39" t="s">
        <v>2525</v>
      </c>
      <c r="D959" s="20" t="s">
        <v>502</v>
      </c>
      <c r="E959" s="54" t="s">
        <v>447</v>
      </c>
      <c r="F959" s="54" t="s">
        <v>33</v>
      </c>
      <c r="G959" s="23" t="s">
        <v>23</v>
      </c>
      <c r="H959" s="39" t="s">
        <v>1889</v>
      </c>
      <c r="I959" s="39" t="s">
        <v>1607</v>
      </c>
      <c r="J959" s="44">
        <v>80</v>
      </c>
      <c r="K959" s="44"/>
      <c r="L959" s="63">
        <v>80</v>
      </c>
      <c r="M959" s="64" t="s">
        <v>2216</v>
      </c>
      <c r="N959" s="2"/>
    </row>
    <row r="960" spans="1:14" ht="14.4">
      <c r="A960" s="42">
        <v>45892</v>
      </c>
      <c r="B960" s="61" t="s">
        <v>2437</v>
      </c>
      <c r="C960" s="39" t="s">
        <v>2526</v>
      </c>
      <c r="D960" s="20" t="s">
        <v>280</v>
      </c>
      <c r="E960" s="54" t="s">
        <v>447</v>
      </c>
      <c r="F960" s="54" t="s">
        <v>283</v>
      </c>
      <c r="G960" s="23" t="s">
        <v>23</v>
      </c>
      <c r="H960" s="39" t="s">
        <v>2527</v>
      </c>
      <c r="I960" s="39" t="s">
        <v>1325</v>
      </c>
      <c r="J960" s="44">
        <v>299</v>
      </c>
      <c r="K960" s="44"/>
      <c r="L960" s="63">
        <v>299</v>
      </c>
      <c r="M960" s="64" t="s">
        <v>1381</v>
      </c>
      <c r="N960" s="2"/>
    </row>
    <row r="961" spans="1:14" ht="14.4">
      <c r="A961" s="42">
        <v>45892</v>
      </c>
      <c r="B961" s="61" t="s">
        <v>2404</v>
      </c>
      <c r="C961" s="179" t="s">
        <v>1995</v>
      </c>
      <c r="D961" s="20" t="s">
        <v>1050</v>
      </c>
      <c r="E961" s="54" t="s">
        <v>447</v>
      </c>
      <c r="F961" s="54" t="s">
        <v>487</v>
      </c>
      <c r="G961" s="23" t="s">
        <v>40</v>
      </c>
      <c r="H961" s="39" t="s">
        <v>2405</v>
      </c>
      <c r="I961" s="39"/>
      <c r="J961" s="44">
        <v>585</v>
      </c>
      <c r="K961" s="44"/>
      <c r="L961" s="63">
        <v>585</v>
      </c>
      <c r="M961" s="64" t="s">
        <v>1381</v>
      </c>
      <c r="N961" s="2"/>
    </row>
    <row r="962" spans="1:14" ht="14.4">
      <c r="A962" s="42">
        <v>45892</v>
      </c>
      <c r="B962" s="61" t="s">
        <v>2406</v>
      </c>
      <c r="C962" s="39" t="s">
        <v>2407</v>
      </c>
      <c r="D962" s="20" t="s">
        <v>974</v>
      </c>
      <c r="E962" s="54" t="s">
        <v>447</v>
      </c>
      <c r="F962" s="54" t="s">
        <v>463</v>
      </c>
      <c r="G962" s="23" t="s">
        <v>40</v>
      </c>
      <c r="H962" s="39" t="s">
        <v>1828</v>
      </c>
      <c r="I962" s="39"/>
      <c r="J962" s="44">
        <v>120</v>
      </c>
      <c r="K962" s="44"/>
      <c r="L962" s="63">
        <v>120</v>
      </c>
      <c r="M962" s="64" t="s">
        <v>2207</v>
      </c>
      <c r="N962" s="2"/>
    </row>
    <row r="963" spans="1:14" ht="14.4">
      <c r="A963" s="42">
        <v>45893</v>
      </c>
      <c r="B963" s="61" t="s">
        <v>2510</v>
      </c>
      <c r="C963" s="39" t="s">
        <v>2511</v>
      </c>
      <c r="D963" s="20" t="s">
        <v>974</v>
      </c>
      <c r="E963" s="54" t="s">
        <v>447</v>
      </c>
      <c r="F963" s="54" t="s">
        <v>463</v>
      </c>
      <c r="G963" s="23" t="s">
        <v>40</v>
      </c>
      <c r="H963" s="39" t="s">
        <v>1828</v>
      </c>
      <c r="I963" s="39" t="s">
        <v>1121</v>
      </c>
      <c r="J963" s="44">
        <v>100</v>
      </c>
      <c r="K963" s="44"/>
      <c r="L963" s="63">
        <v>100</v>
      </c>
      <c r="M963" s="64" t="s">
        <v>2216</v>
      </c>
      <c r="N963" s="2"/>
    </row>
    <row r="964" spans="1:14" ht="14.4">
      <c r="A964" s="42">
        <v>45894</v>
      </c>
      <c r="B964" s="61" t="s">
        <v>2528</v>
      </c>
      <c r="C964" s="39" t="s">
        <v>2529</v>
      </c>
      <c r="D964" s="20" t="s">
        <v>985</v>
      </c>
      <c r="E964" s="54" t="s">
        <v>447</v>
      </c>
      <c r="F964" s="54" t="s">
        <v>253</v>
      </c>
      <c r="G964" s="23" t="s">
        <v>23</v>
      </c>
      <c r="H964" s="39" t="s">
        <v>2477</v>
      </c>
      <c r="I964" s="39" t="s">
        <v>1341</v>
      </c>
      <c r="J964" s="44">
        <v>150</v>
      </c>
      <c r="K964" s="44">
        <v>155</v>
      </c>
      <c r="L964" s="63">
        <v>305</v>
      </c>
      <c r="M964" s="64" t="s">
        <v>2216</v>
      </c>
      <c r="N964" s="2"/>
    </row>
    <row r="965" spans="1:14" ht="14.4">
      <c r="A965" s="42">
        <v>45894</v>
      </c>
      <c r="B965" s="61" t="s">
        <v>2530</v>
      </c>
      <c r="C965" s="39" t="s">
        <v>2531</v>
      </c>
      <c r="D965" s="20" t="s">
        <v>280</v>
      </c>
      <c r="E965" s="54" t="s">
        <v>447</v>
      </c>
      <c r="F965" s="54" t="s">
        <v>735</v>
      </c>
      <c r="G965" s="23" t="s">
        <v>23</v>
      </c>
      <c r="H965" s="39" t="s">
        <v>2532</v>
      </c>
      <c r="I965" s="39" t="s">
        <v>1164</v>
      </c>
      <c r="J965" s="44">
        <v>360</v>
      </c>
      <c r="K965" s="44"/>
      <c r="L965" s="63">
        <v>360</v>
      </c>
      <c r="M965" s="64" t="s">
        <v>2207</v>
      </c>
      <c r="N965" s="2"/>
    </row>
    <row r="966" spans="1:14" ht="14.4">
      <c r="A966" s="42">
        <v>45894</v>
      </c>
      <c r="B966" s="61" t="s">
        <v>2533</v>
      </c>
      <c r="C966" s="39" t="s">
        <v>1235</v>
      </c>
      <c r="D966" s="20" t="s">
        <v>974</v>
      </c>
      <c r="E966" s="54" t="s">
        <v>447</v>
      </c>
      <c r="F966" s="54" t="s">
        <v>487</v>
      </c>
      <c r="G966" s="23" t="s">
        <v>40</v>
      </c>
      <c r="H966" s="39" t="s">
        <v>2428</v>
      </c>
      <c r="I966" s="39" t="s">
        <v>1325</v>
      </c>
      <c r="J966" s="44">
        <v>490</v>
      </c>
      <c r="K966" s="44"/>
      <c r="L966" s="63">
        <v>490</v>
      </c>
      <c r="M966" s="64" t="s">
        <v>2207</v>
      </c>
      <c r="N966" s="2"/>
    </row>
    <row r="967" spans="1:14" ht="14.4">
      <c r="A967" s="42">
        <v>45895</v>
      </c>
      <c r="B967" s="61" t="s">
        <v>2534</v>
      </c>
      <c r="C967" s="39" t="s">
        <v>2535</v>
      </c>
      <c r="D967" s="20" t="s">
        <v>974</v>
      </c>
      <c r="E967" s="54" t="s">
        <v>447</v>
      </c>
      <c r="F967" s="54" t="s">
        <v>487</v>
      </c>
      <c r="G967" s="23" t="s">
        <v>40</v>
      </c>
      <c r="H967" s="39" t="s">
        <v>2491</v>
      </c>
      <c r="I967" s="39" t="s">
        <v>1094</v>
      </c>
      <c r="J967" s="44">
        <v>585</v>
      </c>
      <c r="K967" s="44">
        <v>585</v>
      </c>
      <c r="L967" s="63">
        <v>1170</v>
      </c>
      <c r="M967" s="64" t="s">
        <v>2207</v>
      </c>
      <c r="N967" s="2"/>
    </row>
    <row r="968" spans="1:14" ht="14.4">
      <c r="A968" s="42">
        <v>45895</v>
      </c>
      <c r="B968" s="61" t="s">
        <v>2536</v>
      </c>
      <c r="C968" s="39" t="s">
        <v>2537</v>
      </c>
      <c r="D968" s="20" t="s">
        <v>1033</v>
      </c>
      <c r="E968" s="54" t="s">
        <v>447</v>
      </c>
      <c r="F968" s="54" t="s">
        <v>463</v>
      </c>
      <c r="G968" s="23" t="s">
        <v>40</v>
      </c>
      <c r="H968" s="39" t="s">
        <v>1828</v>
      </c>
      <c r="I968" s="39" t="s">
        <v>1299</v>
      </c>
      <c r="J968" s="44">
        <v>190</v>
      </c>
      <c r="K968" s="44"/>
      <c r="L968" s="63">
        <v>190</v>
      </c>
      <c r="M968" s="64" t="s">
        <v>2207</v>
      </c>
      <c r="N968" s="2"/>
    </row>
    <row r="969" spans="1:14" ht="14.4">
      <c r="A969" s="42">
        <v>45895</v>
      </c>
      <c r="B969" s="61" t="s">
        <v>2538</v>
      </c>
      <c r="C969" s="180" t="s">
        <v>2539</v>
      </c>
      <c r="D969" s="20" t="s">
        <v>502</v>
      </c>
      <c r="E969" s="54" t="s">
        <v>447</v>
      </c>
      <c r="F969" s="54" t="s">
        <v>33</v>
      </c>
      <c r="G969" s="23" t="s">
        <v>23</v>
      </c>
      <c r="H969" s="39" t="s">
        <v>2380</v>
      </c>
      <c r="I969" s="39" t="s">
        <v>1060</v>
      </c>
      <c r="J969" s="44">
        <v>80</v>
      </c>
      <c r="K969" s="44"/>
      <c r="L969" s="63">
        <v>80</v>
      </c>
      <c r="M969" s="64" t="s">
        <v>2216</v>
      </c>
      <c r="N969" s="2"/>
    </row>
    <row r="970" spans="1:14" ht="14.4">
      <c r="A970" s="42">
        <v>45895</v>
      </c>
      <c r="B970" s="61" t="s">
        <v>2540</v>
      </c>
      <c r="C970" s="39" t="s">
        <v>2541</v>
      </c>
      <c r="D970" s="20" t="s">
        <v>280</v>
      </c>
      <c r="E970" s="54" t="s">
        <v>447</v>
      </c>
      <c r="F970" s="54" t="s">
        <v>252</v>
      </c>
      <c r="G970" s="23" t="s">
        <v>23</v>
      </c>
      <c r="H970" s="39" t="s">
        <v>2542</v>
      </c>
      <c r="I970" s="39" t="s">
        <v>1111</v>
      </c>
      <c r="J970" s="44">
        <v>80</v>
      </c>
      <c r="K970" s="44"/>
      <c r="L970" s="63">
        <v>80</v>
      </c>
      <c r="M970" s="64" t="s">
        <v>2377</v>
      </c>
      <c r="N970" s="2"/>
    </row>
    <row r="971" spans="1:14" ht="14.4">
      <c r="A971" s="42">
        <v>45894</v>
      </c>
      <c r="B971" s="61" t="s">
        <v>2543</v>
      </c>
      <c r="C971" s="39" t="s">
        <v>2544</v>
      </c>
      <c r="D971" s="20" t="s">
        <v>1254</v>
      </c>
      <c r="E971" s="54" t="s">
        <v>447</v>
      </c>
      <c r="F971" s="54" t="s">
        <v>252</v>
      </c>
      <c r="G971" s="23" t="s">
        <v>23</v>
      </c>
      <c r="H971" s="39" t="s">
        <v>2542</v>
      </c>
      <c r="I971" s="39" t="s">
        <v>1060</v>
      </c>
      <c r="J971" s="44">
        <v>80</v>
      </c>
      <c r="K971" s="44"/>
      <c r="L971" s="63">
        <v>80</v>
      </c>
      <c r="M971" s="64" t="s">
        <v>2377</v>
      </c>
      <c r="N971" s="2"/>
    </row>
    <row r="972" spans="1:14" ht="14.4">
      <c r="A972" s="42">
        <v>45895</v>
      </c>
      <c r="B972" s="61" t="s">
        <v>2545</v>
      </c>
      <c r="C972" s="39" t="s">
        <v>2546</v>
      </c>
      <c r="D972" s="20" t="s">
        <v>446</v>
      </c>
      <c r="E972" s="54" t="s">
        <v>447</v>
      </c>
      <c r="F972" s="54" t="s">
        <v>252</v>
      </c>
      <c r="G972" s="23" t="s">
        <v>23</v>
      </c>
      <c r="H972" s="39" t="s">
        <v>2542</v>
      </c>
      <c r="I972" s="39" t="s">
        <v>1060</v>
      </c>
      <c r="J972" s="44">
        <v>80</v>
      </c>
      <c r="K972" s="44"/>
      <c r="L972" s="63">
        <v>80</v>
      </c>
      <c r="M972" s="64" t="s">
        <v>2377</v>
      </c>
      <c r="N972" s="2"/>
    </row>
    <row r="973" spans="1:14" ht="14.4">
      <c r="A973" s="42">
        <v>45895</v>
      </c>
      <c r="B973" s="61" t="s">
        <v>2545</v>
      </c>
      <c r="C973" s="39" t="s">
        <v>2546</v>
      </c>
      <c r="D973" s="20" t="s">
        <v>446</v>
      </c>
      <c r="E973" s="54" t="s">
        <v>447</v>
      </c>
      <c r="F973" s="54" t="s">
        <v>252</v>
      </c>
      <c r="G973" s="23" t="s">
        <v>23</v>
      </c>
      <c r="H973" s="39" t="s">
        <v>2547</v>
      </c>
      <c r="I973" s="39" t="s">
        <v>1173</v>
      </c>
      <c r="J973" s="44">
        <v>2250</v>
      </c>
      <c r="K973" s="44"/>
      <c r="L973" s="63">
        <v>2250</v>
      </c>
      <c r="M973" s="64" t="s">
        <v>2207</v>
      </c>
      <c r="N973" s="2"/>
    </row>
    <row r="974" spans="1:14" ht="14.4">
      <c r="A974" s="42">
        <v>45896</v>
      </c>
      <c r="B974" s="61" t="s">
        <v>2548</v>
      </c>
      <c r="C974" s="39" t="s">
        <v>2549</v>
      </c>
      <c r="D974" s="20" t="s">
        <v>27</v>
      </c>
      <c r="E974" s="54" t="s">
        <v>447</v>
      </c>
      <c r="F974" s="54" t="s">
        <v>27</v>
      </c>
      <c r="G974" s="23" t="s">
        <v>27</v>
      </c>
      <c r="H974" s="39" t="s">
        <v>2550</v>
      </c>
      <c r="I974" s="39" t="s">
        <v>1194</v>
      </c>
      <c r="J974" s="44">
        <v>290</v>
      </c>
      <c r="K974" s="44"/>
      <c r="L974" s="63">
        <v>290</v>
      </c>
      <c r="M974" s="64" t="s">
        <v>2216</v>
      </c>
      <c r="N974" s="2"/>
    </row>
    <row r="975" spans="1:14" ht="14.4">
      <c r="A975" s="42">
        <v>45896</v>
      </c>
      <c r="B975" s="61" t="s">
        <v>2551</v>
      </c>
      <c r="C975" s="39" t="s">
        <v>2552</v>
      </c>
      <c r="D975" s="20" t="s">
        <v>864</v>
      </c>
      <c r="E975" s="54" t="s">
        <v>447</v>
      </c>
      <c r="F975" s="54" t="s">
        <v>25</v>
      </c>
      <c r="G975" s="23" t="s">
        <v>25</v>
      </c>
      <c r="H975" s="39"/>
      <c r="I975" s="39" t="s">
        <v>1194</v>
      </c>
      <c r="J975" s="44">
        <v>490</v>
      </c>
      <c r="K975" s="44"/>
      <c r="L975" s="63">
        <v>490</v>
      </c>
      <c r="M975" s="64" t="s">
        <v>2216</v>
      </c>
      <c r="N975" s="2"/>
    </row>
    <row r="976" spans="1:14" ht="14.4">
      <c r="A976" s="42">
        <v>45896</v>
      </c>
      <c r="B976" s="61" t="s">
        <v>2553</v>
      </c>
      <c r="C976" s="39" t="s">
        <v>2554</v>
      </c>
      <c r="D976" s="20" t="s">
        <v>502</v>
      </c>
      <c r="E976" s="54" t="s">
        <v>447</v>
      </c>
      <c r="F976" s="54" t="s">
        <v>33</v>
      </c>
      <c r="G976" s="23" t="s">
        <v>23</v>
      </c>
      <c r="H976" s="39" t="s">
        <v>2380</v>
      </c>
      <c r="I976" s="39" t="s">
        <v>1085</v>
      </c>
      <c r="J976" s="44">
        <v>80</v>
      </c>
      <c r="K976" s="44"/>
      <c r="L976" s="63">
        <v>80</v>
      </c>
      <c r="M976" s="64" t="s">
        <v>2216</v>
      </c>
      <c r="N976" s="2"/>
    </row>
    <row r="977" spans="1:14" ht="14.4">
      <c r="A977" s="42">
        <v>45896</v>
      </c>
      <c r="B977" s="176" t="s">
        <v>2555</v>
      </c>
      <c r="C977" s="176" t="s">
        <v>2556</v>
      </c>
      <c r="D977" s="20" t="s">
        <v>502</v>
      </c>
      <c r="E977" s="54" t="s">
        <v>447</v>
      </c>
      <c r="F977" s="54" t="s">
        <v>252</v>
      </c>
      <c r="G977" s="23" t="s">
        <v>23</v>
      </c>
      <c r="H977" s="39" t="s">
        <v>2380</v>
      </c>
      <c r="I977" s="39" t="s">
        <v>1194</v>
      </c>
      <c r="J977" s="44">
        <v>80</v>
      </c>
      <c r="K977" s="44"/>
      <c r="L977" s="63">
        <v>80</v>
      </c>
      <c r="M977" s="64" t="s">
        <v>2207</v>
      </c>
      <c r="N977" s="2"/>
    </row>
    <row r="978" spans="1:14" ht="14.4">
      <c r="A978" s="42">
        <v>45896</v>
      </c>
      <c r="B978" s="61" t="s">
        <v>2557</v>
      </c>
      <c r="C978" s="39" t="s">
        <v>2558</v>
      </c>
      <c r="D978" s="20" t="s">
        <v>1306</v>
      </c>
      <c r="E978" s="54" t="s">
        <v>447</v>
      </c>
      <c r="F978" s="54" t="s">
        <v>294</v>
      </c>
      <c r="G978" s="23" t="s">
        <v>294</v>
      </c>
      <c r="H978" s="39" t="s">
        <v>2559</v>
      </c>
      <c r="I978" s="39" t="s">
        <v>1111</v>
      </c>
      <c r="J978" s="44">
        <v>270</v>
      </c>
      <c r="K978" s="44"/>
      <c r="L978" s="63">
        <v>270</v>
      </c>
      <c r="M978" s="64" t="s">
        <v>2377</v>
      </c>
      <c r="N978" s="2"/>
    </row>
    <row r="979" spans="1:14" ht="14.4">
      <c r="A979" s="42">
        <v>45893</v>
      </c>
      <c r="B979" s="61" t="s">
        <v>2497</v>
      </c>
      <c r="C979" s="39"/>
      <c r="D979" s="20" t="s">
        <v>446</v>
      </c>
      <c r="E979" s="54" t="s">
        <v>447</v>
      </c>
      <c r="F979" s="54" t="s">
        <v>252</v>
      </c>
      <c r="G979" s="23" t="s">
        <v>23</v>
      </c>
      <c r="H979" s="39" t="s">
        <v>2501</v>
      </c>
      <c r="I979" s="39" t="s">
        <v>1085</v>
      </c>
      <c r="J979" s="44">
        <v>2500</v>
      </c>
      <c r="K979" s="44"/>
      <c r="L979" s="63">
        <v>2500</v>
      </c>
      <c r="M979" s="64" t="s">
        <v>2207</v>
      </c>
      <c r="N979" s="2"/>
    </row>
    <row r="980" spans="1:14" ht="14.4">
      <c r="A980" s="42">
        <v>45896</v>
      </c>
      <c r="B980" s="61" t="s">
        <v>2560</v>
      </c>
      <c r="C980" s="39" t="s">
        <v>2561</v>
      </c>
      <c r="D980" s="20" t="s">
        <v>2365</v>
      </c>
      <c r="E980" s="54" t="s">
        <v>447</v>
      </c>
      <c r="F980" s="54" t="s">
        <v>463</v>
      </c>
      <c r="G980" s="23" t="s">
        <v>40</v>
      </c>
      <c r="H980" s="39" t="s">
        <v>1828</v>
      </c>
      <c r="I980" s="39" t="s">
        <v>1197</v>
      </c>
      <c r="J980" s="44">
        <v>130</v>
      </c>
      <c r="K980" s="44"/>
      <c r="L980" s="63">
        <v>130</v>
      </c>
      <c r="M980" s="64" t="s">
        <v>2207</v>
      </c>
      <c r="N980" s="2"/>
    </row>
    <row r="981" spans="1:14" ht="14.4">
      <c r="A981" s="42">
        <v>45896</v>
      </c>
      <c r="B981" s="61" t="s">
        <v>2562</v>
      </c>
      <c r="C981" s="39" t="s">
        <v>2563</v>
      </c>
      <c r="D981" s="20" t="s">
        <v>2365</v>
      </c>
      <c r="E981" s="54" t="s">
        <v>447</v>
      </c>
      <c r="F981" s="54" t="s">
        <v>463</v>
      </c>
      <c r="G981" s="23" t="s">
        <v>40</v>
      </c>
      <c r="H981" s="39" t="s">
        <v>1828</v>
      </c>
      <c r="I981" s="39" t="s">
        <v>1325</v>
      </c>
      <c r="J981" s="44">
        <v>130</v>
      </c>
      <c r="K981" s="44"/>
      <c r="L981" s="63">
        <v>130</v>
      </c>
      <c r="M981" s="64" t="s">
        <v>2207</v>
      </c>
      <c r="N981" s="2"/>
    </row>
    <row r="982" spans="1:14" ht="14.4">
      <c r="A982" s="42">
        <v>45897</v>
      </c>
      <c r="B982" s="61" t="s">
        <v>2564</v>
      </c>
      <c r="C982" s="39" t="s">
        <v>2038</v>
      </c>
      <c r="D982" s="20" t="s">
        <v>864</v>
      </c>
      <c r="E982" s="54" t="s">
        <v>447</v>
      </c>
      <c r="F982" s="54" t="s">
        <v>25</v>
      </c>
      <c r="G982" s="23" t="s">
        <v>25</v>
      </c>
      <c r="H982" s="39" t="s">
        <v>371</v>
      </c>
      <c r="I982" s="39" t="s">
        <v>1954</v>
      </c>
      <c r="J982" s="44">
        <v>565.5</v>
      </c>
      <c r="K982" s="44"/>
      <c r="L982" s="63">
        <v>565.5</v>
      </c>
      <c r="M982" s="64" t="s">
        <v>2207</v>
      </c>
      <c r="N982" s="2"/>
    </row>
    <row r="983" spans="1:14" ht="14.4">
      <c r="A983" s="42">
        <v>45897</v>
      </c>
      <c r="B983" s="61" t="s">
        <v>2565</v>
      </c>
      <c r="C983" s="39" t="s">
        <v>2566</v>
      </c>
      <c r="D983" s="20" t="s">
        <v>2365</v>
      </c>
      <c r="E983" s="54" t="s">
        <v>519</v>
      </c>
      <c r="F983" s="54" t="s">
        <v>463</v>
      </c>
      <c r="G983" s="23" t="s">
        <v>40</v>
      </c>
      <c r="H983" s="39" t="s">
        <v>1828</v>
      </c>
      <c r="I983" s="39"/>
      <c r="J983" s="44">
        <v>90</v>
      </c>
      <c r="K983" s="44"/>
      <c r="L983" s="63">
        <v>90</v>
      </c>
      <c r="M983" s="64" t="s">
        <v>2377</v>
      </c>
      <c r="N983" s="2"/>
    </row>
    <row r="984" spans="1:14" ht="14.4">
      <c r="A984" s="42">
        <v>45897</v>
      </c>
      <c r="B984" s="176" t="s">
        <v>2567</v>
      </c>
      <c r="C984" s="39" t="s">
        <v>2568</v>
      </c>
      <c r="D984" s="20" t="s">
        <v>446</v>
      </c>
      <c r="E984" s="54" t="s">
        <v>447</v>
      </c>
      <c r="F984" s="54" t="s">
        <v>252</v>
      </c>
      <c r="G984" s="23" t="s">
        <v>23</v>
      </c>
      <c r="H984" s="39" t="s">
        <v>2482</v>
      </c>
      <c r="I984" s="39" t="s">
        <v>1091</v>
      </c>
      <c r="J984" s="44">
        <v>80</v>
      </c>
      <c r="K984" s="44"/>
      <c r="L984" s="63">
        <v>80</v>
      </c>
      <c r="M984" s="64" t="s">
        <v>2377</v>
      </c>
      <c r="N984" s="2"/>
    </row>
    <row r="985" spans="1:14" ht="14.4">
      <c r="A985" s="42">
        <v>45897</v>
      </c>
      <c r="B985" s="61" t="s">
        <v>2569</v>
      </c>
      <c r="C985" s="39" t="s">
        <v>2570</v>
      </c>
      <c r="D985" s="20" t="s">
        <v>1035</v>
      </c>
      <c r="E985" s="54" t="s">
        <v>447</v>
      </c>
      <c r="F985" s="54" t="s">
        <v>463</v>
      </c>
      <c r="G985" s="23" t="s">
        <v>40</v>
      </c>
      <c r="H985" s="39" t="s">
        <v>1828</v>
      </c>
      <c r="I985" s="39" t="s">
        <v>1220</v>
      </c>
      <c r="J985" s="44">
        <v>110</v>
      </c>
      <c r="K985" s="44"/>
      <c r="L985" s="63">
        <v>110</v>
      </c>
      <c r="M985" s="64" t="s">
        <v>2216</v>
      </c>
      <c r="N985" s="2"/>
    </row>
    <row r="986" spans="1:14" ht="14.4">
      <c r="A986" s="42">
        <v>45897</v>
      </c>
      <c r="B986" s="61" t="s">
        <v>2571</v>
      </c>
      <c r="C986" s="39" t="s">
        <v>2572</v>
      </c>
      <c r="D986" s="20" t="s">
        <v>27</v>
      </c>
      <c r="E986" s="54" t="s">
        <v>447</v>
      </c>
      <c r="F986" s="54" t="s">
        <v>27</v>
      </c>
      <c r="G986" s="23" t="s">
        <v>27</v>
      </c>
      <c r="H986" s="39" t="s">
        <v>2550</v>
      </c>
      <c r="I986" s="39" t="s">
        <v>1220</v>
      </c>
      <c r="J986" s="44">
        <v>190</v>
      </c>
      <c r="K986" s="44"/>
      <c r="L986" s="63">
        <v>190</v>
      </c>
      <c r="M986" s="64" t="s">
        <v>2216</v>
      </c>
      <c r="N986" s="2"/>
    </row>
    <row r="987" spans="1:14" ht="14.4">
      <c r="A987" s="42">
        <v>45898</v>
      </c>
      <c r="B987" s="61" t="s">
        <v>786</v>
      </c>
      <c r="C987" s="39" t="s">
        <v>2573</v>
      </c>
      <c r="D987" s="20" t="s">
        <v>1254</v>
      </c>
      <c r="E987" s="54" t="s">
        <v>447</v>
      </c>
      <c r="F987" s="54" t="s">
        <v>735</v>
      </c>
      <c r="G987" s="23" t="s">
        <v>23</v>
      </c>
      <c r="H987" s="39" t="s">
        <v>2542</v>
      </c>
      <c r="I987" s="39" t="s">
        <v>1085</v>
      </c>
      <c r="J987" s="44">
        <v>45</v>
      </c>
      <c r="K987" s="44"/>
      <c r="L987" s="63">
        <v>45</v>
      </c>
      <c r="M987" s="64" t="s">
        <v>2216</v>
      </c>
      <c r="N987" s="2"/>
    </row>
    <row r="988" spans="1:14" ht="14.4">
      <c r="A988" s="42">
        <v>45898</v>
      </c>
      <c r="B988" s="61" t="s">
        <v>2574</v>
      </c>
      <c r="C988" s="39" t="s">
        <v>2575</v>
      </c>
      <c r="D988" s="20" t="s">
        <v>1254</v>
      </c>
      <c r="E988" s="54" t="s">
        <v>447</v>
      </c>
      <c r="F988" s="54"/>
      <c r="G988" s="23" t="s">
        <v>23</v>
      </c>
      <c r="H988" s="39" t="s">
        <v>2482</v>
      </c>
      <c r="I988" s="39" t="s">
        <v>1535</v>
      </c>
      <c r="J988" s="44">
        <v>70</v>
      </c>
      <c r="K988" s="44"/>
      <c r="L988" s="63">
        <v>70</v>
      </c>
      <c r="M988" s="64" t="s">
        <v>2216</v>
      </c>
      <c r="N988" s="2"/>
    </row>
    <row r="989" spans="1:14" ht="14.4">
      <c r="A989" s="42">
        <v>45898</v>
      </c>
      <c r="B989" s="61" t="s">
        <v>2576</v>
      </c>
      <c r="C989" s="39" t="s">
        <v>2577</v>
      </c>
      <c r="D989" s="20" t="s">
        <v>280</v>
      </c>
      <c r="E989" s="54" t="s">
        <v>447</v>
      </c>
      <c r="F989" s="54" t="s">
        <v>253</v>
      </c>
      <c r="G989" s="23" t="s">
        <v>23</v>
      </c>
      <c r="H989" s="39" t="s">
        <v>2477</v>
      </c>
      <c r="I989" s="39" t="s">
        <v>1220</v>
      </c>
      <c r="J989" s="44">
        <v>169.5</v>
      </c>
      <c r="K989" s="44">
        <v>169.5</v>
      </c>
      <c r="L989" s="63">
        <v>339</v>
      </c>
      <c r="M989" s="64" t="s">
        <v>2377</v>
      </c>
      <c r="N989" s="2"/>
    </row>
    <row r="990" spans="1:14" ht="14.4">
      <c r="A990" s="42">
        <v>45898</v>
      </c>
      <c r="B990" s="61" t="s">
        <v>2578</v>
      </c>
      <c r="C990" s="39" t="s">
        <v>2579</v>
      </c>
      <c r="D990" s="20" t="s">
        <v>280</v>
      </c>
      <c r="E990" s="54" t="s">
        <v>447</v>
      </c>
      <c r="F990" s="54" t="s">
        <v>33</v>
      </c>
      <c r="G990" s="23" t="s">
        <v>23</v>
      </c>
      <c r="H990" s="39" t="s">
        <v>2380</v>
      </c>
      <c r="I990" s="39" t="s">
        <v>1091</v>
      </c>
      <c r="J990" s="44">
        <v>80</v>
      </c>
      <c r="K990" s="44"/>
      <c r="L990" s="63">
        <v>80</v>
      </c>
      <c r="M990" s="64" t="s">
        <v>2377</v>
      </c>
      <c r="N990" s="2"/>
    </row>
    <row r="991" spans="1:14" ht="14.4">
      <c r="A991" s="42">
        <v>45901</v>
      </c>
      <c r="B991" s="61" t="s">
        <v>2580</v>
      </c>
      <c r="C991" s="39" t="s">
        <v>2581</v>
      </c>
      <c r="D991" s="20" t="s">
        <v>280</v>
      </c>
      <c r="E991" s="54" t="s">
        <v>447</v>
      </c>
      <c r="F991" s="54" t="s">
        <v>252</v>
      </c>
      <c r="G991" s="23" t="s">
        <v>23</v>
      </c>
      <c r="H991" s="39" t="s">
        <v>2542</v>
      </c>
      <c r="I991" s="39" t="s">
        <v>1111</v>
      </c>
      <c r="J991" s="44">
        <v>80</v>
      </c>
      <c r="K991" s="44"/>
      <c r="L991" s="63">
        <v>80</v>
      </c>
      <c r="M991" s="64" t="s">
        <v>2207</v>
      </c>
      <c r="N991" s="2"/>
    </row>
    <row r="992" spans="1:14" ht="14.4">
      <c r="A992" s="42">
        <v>45901</v>
      </c>
      <c r="B992" s="61" t="s">
        <v>2582</v>
      </c>
      <c r="C992" s="39" t="s">
        <v>2583</v>
      </c>
      <c r="D992" s="20" t="s">
        <v>1254</v>
      </c>
      <c r="E992" s="54" t="s">
        <v>447</v>
      </c>
      <c r="F992" s="54" t="s">
        <v>252</v>
      </c>
      <c r="G992" s="23" t="s">
        <v>23</v>
      </c>
      <c r="H992" s="39" t="s">
        <v>2542</v>
      </c>
      <c r="I992" s="39" t="s">
        <v>1446</v>
      </c>
      <c r="J992" s="44">
        <v>80</v>
      </c>
      <c r="K992" s="44"/>
      <c r="L992" s="63">
        <v>80</v>
      </c>
      <c r="M992" s="64" t="s">
        <v>2207</v>
      </c>
      <c r="N992" s="2"/>
    </row>
    <row r="993" spans="1:14" ht="14.4">
      <c r="A993" s="42">
        <v>45901</v>
      </c>
      <c r="B993" s="61" t="s">
        <v>2584</v>
      </c>
      <c r="C993" s="39" t="s">
        <v>2585</v>
      </c>
      <c r="D993" s="20" t="s">
        <v>446</v>
      </c>
      <c r="E993" s="54" t="s">
        <v>447</v>
      </c>
      <c r="F993" s="54" t="s">
        <v>252</v>
      </c>
      <c r="G993" s="23" t="s">
        <v>23</v>
      </c>
      <c r="H993" s="39" t="s">
        <v>2380</v>
      </c>
      <c r="I993" s="39" t="s">
        <v>1607</v>
      </c>
      <c r="J993" s="44">
        <v>80</v>
      </c>
      <c r="K993" s="44"/>
      <c r="L993" s="63">
        <v>80</v>
      </c>
      <c r="M993" s="64" t="s">
        <v>2207</v>
      </c>
      <c r="N993" s="2"/>
    </row>
    <row r="994" spans="1:14" ht="14.4">
      <c r="A994" s="42">
        <v>45901</v>
      </c>
      <c r="B994" s="61" t="s">
        <v>2586</v>
      </c>
      <c r="C994" s="39" t="s">
        <v>2587</v>
      </c>
      <c r="D994" s="20" t="s">
        <v>446</v>
      </c>
      <c r="E994" s="54" t="s">
        <v>447</v>
      </c>
      <c r="F994" s="54" t="s">
        <v>252</v>
      </c>
      <c r="G994" s="23" t="s">
        <v>23</v>
      </c>
      <c r="H994" s="39" t="s">
        <v>2380</v>
      </c>
      <c r="I994" s="39" t="s">
        <v>1085</v>
      </c>
      <c r="J994" s="44">
        <v>80</v>
      </c>
      <c r="K994" s="44"/>
      <c r="L994" s="63">
        <v>80</v>
      </c>
      <c r="M994" s="64" t="s">
        <v>2377</v>
      </c>
      <c r="N994" s="2"/>
    </row>
    <row r="995" spans="1:14" ht="14.4">
      <c r="A995" s="42">
        <v>45901</v>
      </c>
      <c r="B995" s="61" t="s">
        <v>2588</v>
      </c>
      <c r="C995" s="39" t="s">
        <v>2589</v>
      </c>
      <c r="D995" s="20" t="s">
        <v>280</v>
      </c>
      <c r="E995" s="54" t="s">
        <v>519</v>
      </c>
      <c r="F995" s="54" t="s">
        <v>252</v>
      </c>
      <c r="G995" s="23" t="s">
        <v>23</v>
      </c>
      <c r="H995" s="39" t="s">
        <v>2542</v>
      </c>
      <c r="I995" s="39" t="s">
        <v>1220</v>
      </c>
      <c r="J995" s="44">
        <v>80</v>
      </c>
      <c r="K995" s="44"/>
      <c r="L995" s="63">
        <v>80</v>
      </c>
      <c r="M995" s="64" t="s">
        <v>2377</v>
      </c>
      <c r="N995" s="2"/>
    </row>
    <row r="996" spans="1:14" ht="14.4">
      <c r="A996" s="42">
        <v>45901</v>
      </c>
      <c r="B996" s="61" t="s">
        <v>2578</v>
      </c>
      <c r="C996" s="39" t="s">
        <v>2579</v>
      </c>
      <c r="D996" s="20" t="s">
        <v>280</v>
      </c>
      <c r="E996" s="54" t="s">
        <v>447</v>
      </c>
      <c r="F996" s="54" t="s">
        <v>252</v>
      </c>
      <c r="G996" s="23" t="s">
        <v>23</v>
      </c>
      <c r="H996" s="39" t="s">
        <v>2501</v>
      </c>
      <c r="I996" s="39" t="s">
        <v>1091</v>
      </c>
      <c r="J996" s="44">
        <v>3790</v>
      </c>
      <c r="K996" s="44"/>
      <c r="L996" s="63">
        <v>3790</v>
      </c>
      <c r="M996" s="64" t="s">
        <v>2377</v>
      </c>
      <c r="N996" s="2"/>
    </row>
    <row r="997" spans="1:14" ht="14.4">
      <c r="A997" s="42">
        <v>45901</v>
      </c>
      <c r="B997" s="61" t="s">
        <v>2510</v>
      </c>
      <c r="C997" s="39" t="s">
        <v>2511</v>
      </c>
      <c r="D997" s="20" t="s">
        <v>974</v>
      </c>
      <c r="E997" s="54" t="s">
        <v>447</v>
      </c>
      <c r="F997" s="54" t="s">
        <v>487</v>
      </c>
      <c r="G997" s="23" t="s">
        <v>40</v>
      </c>
      <c r="H997" s="39" t="s">
        <v>2590</v>
      </c>
      <c r="I997" s="39"/>
      <c r="J997" s="44">
        <v>500</v>
      </c>
      <c r="K997" s="44">
        <v>1000</v>
      </c>
      <c r="L997" s="63">
        <v>1500</v>
      </c>
      <c r="M997" s="64" t="s">
        <v>2216</v>
      </c>
      <c r="N997" s="2"/>
    </row>
    <row r="998" spans="1:14" ht="14.4">
      <c r="A998" s="42">
        <v>45901</v>
      </c>
      <c r="B998" s="61" t="s">
        <v>2574</v>
      </c>
      <c r="C998" s="39" t="s">
        <v>2575</v>
      </c>
      <c r="D998" s="20" t="s">
        <v>1254</v>
      </c>
      <c r="E998" s="54" t="s">
        <v>447</v>
      </c>
      <c r="F998" s="54" t="s">
        <v>252</v>
      </c>
      <c r="G998" s="23" t="s">
        <v>23</v>
      </c>
      <c r="H998" s="39" t="s">
        <v>2504</v>
      </c>
      <c r="I998" s="39"/>
      <c r="J998" s="44">
        <v>280</v>
      </c>
      <c r="K998" s="44">
        <v>279</v>
      </c>
      <c r="L998" s="63">
        <v>559</v>
      </c>
      <c r="M998" s="64" t="s">
        <v>2216</v>
      </c>
      <c r="N998" s="2"/>
    </row>
    <row r="999" spans="1:14" ht="14.4">
      <c r="A999" s="42">
        <v>45901</v>
      </c>
      <c r="B999" s="61" t="s">
        <v>2591</v>
      </c>
      <c r="C999" s="39" t="s">
        <v>2592</v>
      </c>
      <c r="D999" s="20" t="s">
        <v>985</v>
      </c>
      <c r="E999" s="54" t="s">
        <v>447</v>
      </c>
      <c r="F999" s="54" t="s">
        <v>283</v>
      </c>
      <c r="G999" s="23" t="s">
        <v>23</v>
      </c>
      <c r="H999" s="39" t="s">
        <v>2593</v>
      </c>
      <c r="I999" s="39"/>
      <c r="J999" s="44">
        <v>230</v>
      </c>
      <c r="K999" s="44">
        <v>239</v>
      </c>
      <c r="L999" s="63">
        <v>469</v>
      </c>
      <c r="M999" s="64" t="s">
        <v>2216</v>
      </c>
      <c r="N999" s="2"/>
    </row>
    <row r="1000" spans="1:14" ht="14.4">
      <c r="A1000" s="42">
        <v>45901</v>
      </c>
      <c r="B1000" s="61" t="s">
        <v>2594</v>
      </c>
      <c r="C1000" s="39" t="s">
        <v>2572</v>
      </c>
      <c r="D1000" s="20" t="s">
        <v>27</v>
      </c>
      <c r="E1000" s="54" t="s">
        <v>447</v>
      </c>
      <c r="F1000" s="54" t="s">
        <v>27</v>
      </c>
      <c r="G1000" s="23" t="s">
        <v>27</v>
      </c>
      <c r="H1000" s="39" t="s">
        <v>2550</v>
      </c>
      <c r="I1000" s="39"/>
      <c r="J1000" s="44">
        <v>2400</v>
      </c>
      <c r="K1000" s="44">
        <v>1200</v>
      </c>
      <c r="L1000" s="63">
        <v>2400</v>
      </c>
      <c r="M1000" s="64" t="s">
        <v>2216</v>
      </c>
      <c r="N1000" s="2"/>
    </row>
    <row r="1001" spans="1:14" ht="14.4">
      <c r="A1001" s="42">
        <v>45901</v>
      </c>
      <c r="B1001" s="61" t="s">
        <v>2595</v>
      </c>
      <c r="C1001" s="39">
        <f>51957238210</f>
        <v>51957238210</v>
      </c>
      <c r="D1001" s="20" t="s">
        <v>27</v>
      </c>
      <c r="E1001" s="54" t="s">
        <v>447</v>
      </c>
      <c r="F1001" s="54" t="s">
        <v>27</v>
      </c>
      <c r="G1001" s="23" t="s">
        <v>27</v>
      </c>
      <c r="H1001" s="39" t="s">
        <v>2550</v>
      </c>
      <c r="I1001" s="39"/>
      <c r="J1001" s="44">
        <v>350</v>
      </c>
      <c r="K1001" s="44"/>
      <c r="L1001" s="63">
        <v>350</v>
      </c>
      <c r="M1001" s="64" t="s">
        <v>2216</v>
      </c>
      <c r="N1001" s="2"/>
    </row>
    <row r="1002" spans="1:14" ht="14.4">
      <c r="A1002" s="42">
        <v>45901</v>
      </c>
      <c r="B1002" s="61" t="s">
        <v>2596</v>
      </c>
      <c r="C1002" s="39" t="s">
        <v>2597</v>
      </c>
      <c r="D1002" s="20" t="s">
        <v>1035</v>
      </c>
      <c r="E1002" s="54" t="s">
        <v>447</v>
      </c>
      <c r="F1002" s="54" t="s">
        <v>463</v>
      </c>
      <c r="G1002" s="23" t="s">
        <v>40</v>
      </c>
      <c r="H1002" s="39" t="s">
        <v>1828</v>
      </c>
      <c r="I1002" s="39"/>
      <c r="J1002" s="44">
        <v>50</v>
      </c>
      <c r="K1002" s="44"/>
      <c r="L1002" s="63">
        <v>50</v>
      </c>
      <c r="M1002" s="64" t="s">
        <v>2216</v>
      </c>
      <c r="N1002" s="2"/>
    </row>
    <row r="1003" spans="1:14" ht="14.4">
      <c r="A1003" s="42">
        <v>45901</v>
      </c>
      <c r="B1003" s="61" t="s">
        <v>2598</v>
      </c>
      <c r="C1003" s="39" t="s">
        <v>2599</v>
      </c>
      <c r="D1003" s="20" t="s">
        <v>1033</v>
      </c>
      <c r="E1003" s="54" t="s">
        <v>447</v>
      </c>
      <c r="F1003" s="54" t="s">
        <v>487</v>
      </c>
      <c r="G1003" s="23" t="s">
        <v>40</v>
      </c>
      <c r="H1003" s="39" t="s">
        <v>2590</v>
      </c>
      <c r="I1003" s="39"/>
      <c r="J1003" s="44">
        <v>1540</v>
      </c>
      <c r="K1003" s="44"/>
      <c r="L1003" s="63">
        <v>1540</v>
      </c>
      <c r="M1003" s="64" t="s">
        <v>1381</v>
      </c>
      <c r="N1003" s="2"/>
    </row>
    <row r="1004" spans="1:14" ht="14.4">
      <c r="A1004" s="42">
        <v>45901</v>
      </c>
      <c r="B1004" s="61" t="s">
        <v>2600</v>
      </c>
      <c r="C1004" s="39" t="s">
        <v>2113</v>
      </c>
      <c r="D1004" s="20" t="s">
        <v>974</v>
      </c>
      <c r="E1004" s="54" t="s">
        <v>447</v>
      </c>
      <c r="F1004" s="54" t="s">
        <v>487</v>
      </c>
      <c r="G1004" s="23" t="s">
        <v>40</v>
      </c>
      <c r="H1004" s="39" t="s">
        <v>2491</v>
      </c>
      <c r="I1004" s="39"/>
      <c r="J1004" s="44">
        <v>707</v>
      </c>
      <c r="K1004" s="44"/>
      <c r="L1004" s="63">
        <v>707</v>
      </c>
      <c r="M1004" s="64" t="s">
        <v>1381</v>
      </c>
      <c r="N1004" s="2"/>
    </row>
    <row r="1005" spans="1:14" ht="14.4">
      <c r="A1005" s="42">
        <v>45902</v>
      </c>
      <c r="B1005" s="61" t="s">
        <v>2601</v>
      </c>
      <c r="C1005" s="39" t="s">
        <v>2561</v>
      </c>
      <c r="D1005" s="20" t="s">
        <v>1035</v>
      </c>
      <c r="E1005" s="54" t="s">
        <v>447</v>
      </c>
      <c r="F1005" s="54" t="s">
        <v>463</v>
      </c>
      <c r="G1005" s="23" t="s">
        <v>40</v>
      </c>
      <c r="H1005" s="39" t="s">
        <v>1828</v>
      </c>
      <c r="I1005" s="39"/>
      <c r="J1005" s="44">
        <v>130</v>
      </c>
      <c r="K1005" s="44"/>
      <c r="L1005" s="63">
        <v>130</v>
      </c>
      <c r="M1005" s="64" t="s">
        <v>2207</v>
      </c>
      <c r="N1005" s="2"/>
    </row>
    <row r="1006" spans="1:14" ht="14.4">
      <c r="A1006" s="42">
        <v>45902</v>
      </c>
      <c r="B1006" s="61" t="s">
        <v>2602</v>
      </c>
      <c r="C1006" s="39" t="s">
        <v>2603</v>
      </c>
      <c r="D1006" s="20" t="s">
        <v>280</v>
      </c>
      <c r="E1006" s="54" t="s">
        <v>447</v>
      </c>
      <c r="F1006" s="54" t="s">
        <v>252</v>
      </c>
      <c r="G1006" s="23" t="s">
        <v>23</v>
      </c>
      <c r="H1006" s="39" t="s">
        <v>2542</v>
      </c>
      <c r="I1006" s="39"/>
      <c r="J1006" s="44">
        <v>80</v>
      </c>
      <c r="K1006" s="44"/>
      <c r="L1006" s="63">
        <v>80</v>
      </c>
      <c r="M1006" s="64" t="s">
        <v>2377</v>
      </c>
      <c r="N1006" s="2"/>
    </row>
    <row r="1007" spans="1:14" ht="14.4">
      <c r="A1007" s="42">
        <v>45902</v>
      </c>
      <c r="B1007" s="61" t="s">
        <v>2604</v>
      </c>
      <c r="C1007" s="39" t="s">
        <v>2605</v>
      </c>
      <c r="D1007" s="20" t="s">
        <v>280</v>
      </c>
      <c r="E1007" s="54" t="s">
        <v>447</v>
      </c>
      <c r="F1007" s="54" t="s">
        <v>283</v>
      </c>
      <c r="G1007" s="23" t="s">
        <v>23</v>
      </c>
      <c r="H1007" s="39" t="s">
        <v>2527</v>
      </c>
      <c r="I1007" s="39"/>
      <c r="J1007" s="44">
        <v>565</v>
      </c>
      <c r="K1007" s="44">
        <v>565</v>
      </c>
      <c r="L1007" s="63">
        <v>1130</v>
      </c>
      <c r="M1007" s="64" t="s">
        <v>2216</v>
      </c>
      <c r="N1007" s="2"/>
    </row>
    <row r="1008" spans="1:14" ht="14.4">
      <c r="A1008" s="42">
        <v>45903</v>
      </c>
      <c r="B1008" s="61" t="s">
        <v>2606</v>
      </c>
      <c r="C1008" s="39" t="s">
        <v>2607</v>
      </c>
      <c r="D1008" s="20" t="s">
        <v>974</v>
      </c>
      <c r="E1008" s="54" t="s">
        <v>447</v>
      </c>
      <c r="F1008" s="54" t="s">
        <v>487</v>
      </c>
      <c r="G1008" s="23" t="s">
        <v>40</v>
      </c>
      <c r="H1008" s="39" t="s">
        <v>2428</v>
      </c>
      <c r="I1008" s="39"/>
      <c r="J1008" s="44">
        <v>440</v>
      </c>
      <c r="K1008" s="44"/>
      <c r="L1008" s="63">
        <v>440</v>
      </c>
      <c r="M1008" s="64" t="s">
        <v>2216</v>
      </c>
      <c r="N1008" s="2"/>
    </row>
    <row r="1009" spans="1:14" ht="14.4">
      <c r="A1009" s="42">
        <v>45903</v>
      </c>
      <c r="B1009" s="61" t="s">
        <v>2608</v>
      </c>
      <c r="C1009" s="39" t="s">
        <v>2609</v>
      </c>
      <c r="D1009" s="20" t="s">
        <v>985</v>
      </c>
      <c r="E1009" s="54" t="s">
        <v>447</v>
      </c>
      <c r="F1009" s="54" t="s">
        <v>253</v>
      </c>
      <c r="G1009" s="23" t="s">
        <v>23</v>
      </c>
      <c r="H1009" s="39" t="s">
        <v>2610</v>
      </c>
      <c r="I1009" s="39"/>
      <c r="J1009" s="44">
        <v>189</v>
      </c>
      <c r="K1009" s="44"/>
      <c r="L1009" s="63">
        <v>189</v>
      </c>
      <c r="M1009" s="64" t="s">
        <v>2216</v>
      </c>
      <c r="N1009" s="2"/>
    </row>
    <row r="1010" spans="1:14" ht="14.4">
      <c r="A1010" s="42">
        <v>45903</v>
      </c>
      <c r="B1010" s="61" t="s">
        <v>2611</v>
      </c>
      <c r="C1010" s="175" t="s">
        <v>2612</v>
      </c>
      <c r="D1010" s="20" t="s">
        <v>2365</v>
      </c>
      <c r="E1010" s="54" t="s">
        <v>447</v>
      </c>
      <c r="F1010" s="54" t="s">
        <v>463</v>
      </c>
      <c r="G1010" s="23" t="s">
        <v>40</v>
      </c>
      <c r="H1010" s="39" t="s">
        <v>1828</v>
      </c>
      <c r="I1010" s="39"/>
      <c r="J1010" s="44">
        <v>100</v>
      </c>
      <c r="K1010" s="44"/>
      <c r="L1010" s="63">
        <v>100</v>
      </c>
      <c r="M1010" s="64" t="s">
        <v>2216</v>
      </c>
      <c r="N1010" s="2"/>
    </row>
    <row r="1011" spans="1:14" ht="14.4">
      <c r="A1011" s="42">
        <v>45903</v>
      </c>
      <c r="B1011" s="61" t="s">
        <v>2613</v>
      </c>
      <c r="C1011" s="39" t="s">
        <v>2587</v>
      </c>
      <c r="D1011" s="20" t="s">
        <v>446</v>
      </c>
      <c r="E1011" s="54" t="s">
        <v>447</v>
      </c>
      <c r="F1011" s="54" t="s">
        <v>33</v>
      </c>
      <c r="G1011" s="23" t="s">
        <v>23</v>
      </c>
      <c r="H1011" s="39" t="s">
        <v>2501</v>
      </c>
      <c r="I1011" s="39" t="s">
        <v>1085</v>
      </c>
      <c r="J1011" s="44">
        <v>700</v>
      </c>
      <c r="K1011" s="44"/>
      <c r="L1011" s="63">
        <v>1400</v>
      </c>
      <c r="M1011" s="64" t="s">
        <v>2377</v>
      </c>
      <c r="N1011" s="2"/>
    </row>
    <row r="1012" spans="1:14" ht="14.4">
      <c r="A1012" s="42">
        <v>45903</v>
      </c>
      <c r="B1012" s="61" t="s">
        <v>2613</v>
      </c>
      <c r="C1012" s="39" t="s">
        <v>2587</v>
      </c>
      <c r="D1012" s="20" t="s">
        <v>446</v>
      </c>
      <c r="E1012" s="54" t="s">
        <v>447</v>
      </c>
      <c r="F1012" s="54" t="s">
        <v>33</v>
      </c>
      <c r="G1012" s="23" t="s">
        <v>23</v>
      </c>
      <c r="H1012" s="39" t="s">
        <v>2501</v>
      </c>
      <c r="I1012" s="39" t="s">
        <v>1085</v>
      </c>
      <c r="J1012" s="44">
        <v>700</v>
      </c>
      <c r="K1012" s="44"/>
      <c r="L1012" s="63">
        <v>1400</v>
      </c>
      <c r="M1012" s="64" t="s">
        <v>2377</v>
      </c>
      <c r="N1012" s="2"/>
    </row>
    <row r="1013" spans="1:14" ht="14.4">
      <c r="A1013" s="42">
        <v>45904</v>
      </c>
      <c r="B1013" s="61" t="s">
        <v>2614</v>
      </c>
      <c r="C1013" s="39" t="s">
        <v>2615</v>
      </c>
      <c r="D1013" s="20" t="s">
        <v>1033</v>
      </c>
      <c r="E1013" s="54" t="s">
        <v>447</v>
      </c>
      <c r="F1013" s="54" t="s">
        <v>487</v>
      </c>
      <c r="G1013" s="23" t="s">
        <v>40</v>
      </c>
      <c r="H1013" s="39" t="s">
        <v>2491</v>
      </c>
      <c r="I1013" s="39"/>
      <c r="J1013" s="44">
        <v>2697</v>
      </c>
      <c r="K1013" s="44"/>
      <c r="L1013" s="63">
        <v>2697</v>
      </c>
      <c r="M1013" s="64" t="s">
        <v>2216</v>
      </c>
      <c r="N1013" s="2"/>
    </row>
    <row r="1014" spans="1:14" ht="14.4">
      <c r="A1014" s="42">
        <v>45904</v>
      </c>
      <c r="B1014" s="61" t="s">
        <v>2611</v>
      </c>
      <c r="C1014" s="175" t="s">
        <v>2612</v>
      </c>
      <c r="D1014" s="20" t="s">
        <v>974</v>
      </c>
      <c r="E1014" s="54" t="s">
        <v>447</v>
      </c>
      <c r="F1014" s="54" t="s">
        <v>463</v>
      </c>
      <c r="G1014" s="23" t="s">
        <v>23</v>
      </c>
      <c r="H1014" s="39" t="s">
        <v>1828</v>
      </c>
      <c r="I1014" s="39"/>
      <c r="J1014" s="44">
        <v>100</v>
      </c>
      <c r="K1014" s="44"/>
      <c r="L1014" s="63">
        <v>100</v>
      </c>
      <c r="M1014" s="64" t="s">
        <v>2216</v>
      </c>
      <c r="N1014" s="2"/>
    </row>
    <row r="1015" spans="1:14" ht="14.4">
      <c r="A1015" s="42">
        <v>45904</v>
      </c>
      <c r="B1015" s="61" t="s">
        <v>2616</v>
      </c>
      <c r="C1015" s="39" t="s">
        <v>2617</v>
      </c>
      <c r="D1015" s="20" t="s">
        <v>1254</v>
      </c>
      <c r="E1015" s="54" t="s">
        <v>447</v>
      </c>
      <c r="F1015" s="54" t="s">
        <v>2618</v>
      </c>
      <c r="G1015" s="23" t="s">
        <v>23</v>
      </c>
      <c r="H1015" s="39" t="s">
        <v>2482</v>
      </c>
      <c r="I1015" s="39"/>
      <c r="J1015" s="44">
        <v>90</v>
      </c>
      <c r="K1015" s="44"/>
      <c r="L1015" s="63">
        <v>90</v>
      </c>
      <c r="M1015" s="64" t="s">
        <v>2216</v>
      </c>
      <c r="N1015" s="2"/>
    </row>
    <row r="1016" spans="1:14" ht="14.4">
      <c r="A1016" s="42">
        <v>45904</v>
      </c>
      <c r="B1016" s="61" t="s">
        <v>2619</v>
      </c>
      <c r="C1016" s="39"/>
      <c r="D1016" s="20" t="s">
        <v>280</v>
      </c>
      <c r="E1016" s="54" t="s">
        <v>447</v>
      </c>
      <c r="F1016" s="54" t="s">
        <v>252</v>
      </c>
      <c r="G1016" s="23" t="s">
        <v>23</v>
      </c>
      <c r="H1016" s="39" t="s">
        <v>2542</v>
      </c>
      <c r="I1016" s="39" t="s">
        <v>1111</v>
      </c>
      <c r="J1016" s="44">
        <v>80</v>
      </c>
      <c r="K1016" s="44"/>
      <c r="L1016" s="63">
        <v>80</v>
      </c>
      <c r="M1016" s="64" t="s">
        <v>2207</v>
      </c>
      <c r="N1016" s="2"/>
    </row>
    <row r="1017" spans="1:14" ht="14.4">
      <c r="A1017" s="42">
        <v>45905</v>
      </c>
      <c r="B1017" s="61" t="s">
        <v>2620</v>
      </c>
      <c r="C1017" s="39" t="s">
        <v>2621</v>
      </c>
      <c r="D1017" s="20" t="s">
        <v>1033</v>
      </c>
      <c r="E1017" s="54" t="s">
        <v>447</v>
      </c>
      <c r="F1017" s="54" t="s">
        <v>487</v>
      </c>
      <c r="G1017" s="23" t="s">
        <v>40</v>
      </c>
      <c r="H1017" s="39" t="s">
        <v>2428</v>
      </c>
      <c r="I1017" s="39"/>
      <c r="J1017" s="44">
        <v>700</v>
      </c>
      <c r="K1017" s="44"/>
      <c r="L1017" s="63">
        <v>700</v>
      </c>
      <c r="M1017" s="64" t="s">
        <v>2216</v>
      </c>
      <c r="N1017" s="2"/>
    </row>
    <row r="1018" spans="1:14" ht="14.4">
      <c r="A1018" s="42">
        <v>45905</v>
      </c>
      <c r="B1018" s="61" t="s">
        <v>2616</v>
      </c>
      <c r="C1018" s="39" t="s">
        <v>2617</v>
      </c>
      <c r="D1018" s="20" t="s">
        <v>1254</v>
      </c>
      <c r="E1018" s="54" t="s">
        <v>447</v>
      </c>
      <c r="F1018" s="54" t="s">
        <v>2618</v>
      </c>
      <c r="G1018" s="23" t="s">
        <v>23</v>
      </c>
      <c r="H1018" s="39" t="s">
        <v>2504</v>
      </c>
      <c r="I1018" s="39"/>
      <c r="J1018" s="44">
        <v>150</v>
      </c>
      <c r="K1018" s="44">
        <v>155</v>
      </c>
      <c r="L1018" s="63">
        <v>305</v>
      </c>
      <c r="M1018" s="64" t="s">
        <v>2216</v>
      </c>
      <c r="N1018" s="2"/>
    </row>
    <row r="1019" spans="1:14" ht="14.4">
      <c r="A1019" s="42">
        <v>45905</v>
      </c>
      <c r="B1019" s="61" t="s">
        <v>2622</v>
      </c>
      <c r="C1019" s="39" t="s">
        <v>2623</v>
      </c>
      <c r="D1019" s="20" t="s">
        <v>1254</v>
      </c>
      <c r="E1019" s="54" t="s">
        <v>447</v>
      </c>
      <c r="F1019" s="54" t="s">
        <v>735</v>
      </c>
      <c r="G1019" s="23" t="s">
        <v>23</v>
      </c>
      <c r="H1019" s="39" t="s">
        <v>2542</v>
      </c>
      <c r="I1019" s="39" t="s">
        <v>1607</v>
      </c>
      <c r="J1019" s="44">
        <v>45</v>
      </c>
      <c r="K1019" s="44"/>
      <c r="L1019" s="63">
        <v>45</v>
      </c>
      <c r="M1019" s="64" t="s">
        <v>2216</v>
      </c>
      <c r="N1019" s="2"/>
    </row>
    <row r="1020" spans="1:14" ht="14.4">
      <c r="A1020" s="42">
        <v>45905</v>
      </c>
      <c r="B1020" s="61" t="s">
        <v>2624</v>
      </c>
      <c r="C1020" s="39" t="s">
        <v>2625</v>
      </c>
      <c r="D1020" s="20" t="s">
        <v>1254</v>
      </c>
      <c r="E1020" s="54" t="s">
        <v>447</v>
      </c>
      <c r="F1020" s="54" t="s">
        <v>735</v>
      </c>
      <c r="G1020" s="23" t="s">
        <v>23</v>
      </c>
      <c r="H1020" s="39" t="s">
        <v>2532</v>
      </c>
      <c r="I1020" s="39" t="s">
        <v>1091</v>
      </c>
      <c r="J1020" s="44">
        <v>100</v>
      </c>
      <c r="K1020" s="44">
        <v>100</v>
      </c>
      <c r="L1020" s="63">
        <v>200</v>
      </c>
      <c r="M1020" s="64" t="s">
        <v>2216</v>
      </c>
      <c r="N1020" s="2"/>
    </row>
    <row r="1021" spans="1:14" ht="14.4">
      <c r="A1021" s="42">
        <v>45905</v>
      </c>
      <c r="B1021" s="61" t="s">
        <v>2626</v>
      </c>
      <c r="C1021" s="39"/>
      <c r="D1021" s="20" t="s">
        <v>446</v>
      </c>
      <c r="E1021" s="54" t="s">
        <v>447</v>
      </c>
      <c r="F1021" s="54" t="s">
        <v>252</v>
      </c>
      <c r="G1021" s="23" t="s">
        <v>23</v>
      </c>
      <c r="H1021" s="39" t="s">
        <v>2380</v>
      </c>
      <c r="I1021" s="39" t="s">
        <v>1111</v>
      </c>
      <c r="J1021" s="44">
        <v>80</v>
      </c>
      <c r="K1021" s="44"/>
      <c r="L1021" s="63">
        <v>80</v>
      </c>
      <c r="M1021" s="64" t="s">
        <v>2207</v>
      </c>
      <c r="N1021" s="2"/>
    </row>
    <row r="1022" spans="1:14" ht="14.4">
      <c r="A1022" s="42">
        <v>45905</v>
      </c>
      <c r="B1022" s="61" t="s">
        <v>2627</v>
      </c>
      <c r="C1022" s="39"/>
      <c r="D1022" s="20" t="s">
        <v>280</v>
      </c>
      <c r="E1022" s="54" t="s">
        <v>447</v>
      </c>
      <c r="F1022" s="54" t="s">
        <v>252</v>
      </c>
      <c r="G1022" s="23" t="s">
        <v>23</v>
      </c>
      <c r="H1022" s="39" t="s">
        <v>2482</v>
      </c>
      <c r="I1022" s="39" t="s">
        <v>1111</v>
      </c>
      <c r="J1022" s="44">
        <v>80</v>
      </c>
      <c r="K1022" s="44"/>
      <c r="L1022" s="63">
        <v>80</v>
      </c>
      <c r="M1022" s="64" t="s">
        <v>2207</v>
      </c>
      <c r="N1022" s="2"/>
    </row>
    <row r="1023" spans="1:14" ht="14.4">
      <c r="A1023" s="42">
        <v>45906</v>
      </c>
      <c r="B1023" s="61" t="s">
        <v>2628</v>
      </c>
      <c r="C1023" s="39" t="s">
        <v>2629</v>
      </c>
      <c r="D1023" s="20" t="s">
        <v>446</v>
      </c>
      <c r="E1023" s="54" t="s">
        <v>447</v>
      </c>
      <c r="F1023" s="54" t="s">
        <v>252</v>
      </c>
      <c r="G1023" s="23" t="s">
        <v>23</v>
      </c>
      <c r="H1023" s="39" t="s">
        <v>2482</v>
      </c>
      <c r="I1023" s="39" t="s">
        <v>1111</v>
      </c>
      <c r="J1023" s="44">
        <v>80</v>
      </c>
      <c r="K1023" s="44"/>
      <c r="L1023" s="63">
        <v>80</v>
      </c>
      <c r="M1023" s="64" t="s">
        <v>2377</v>
      </c>
      <c r="N1023" s="2"/>
    </row>
    <row r="1024" spans="1:14" ht="14.4">
      <c r="A1024" s="42">
        <v>45906</v>
      </c>
      <c r="B1024" s="61" t="s">
        <v>2578</v>
      </c>
      <c r="C1024" s="39" t="s">
        <v>2579</v>
      </c>
      <c r="D1024" s="20" t="s">
        <v>280</v>
      </c>
      <c r="E1024" s="54" t="s">
        <v>447</v>
      </c>
      <c r="F1024" s="54" t="s">
        <v>252</v>
      </c>
      <c r="G1024" s="23" t="s">
        <v>23</v>
      </c>
      <c r="H1024" s="39" t="s">
        <v>2501</v>
      </c>
      <c r="I1024" s="39" t="s">
        <v>1091</v>
      </c>
      <c r="J1024" s="44">
        <v>899</v>
      </c>
      <c r="K1024" s="44"/>
      <c r="L1024" s="63">
        <v>899</v>
      </c>
      <c r="M1024" s="64" t="s">
        <v>2377</v>
      </c>
      <c r="N1024" s="2"/>
    </row>
    <row r="1025" spans="1:14" ht="14.4">
      <c r="A1025" s="42">
        <v>45908</v>
      </c>
      <c r="B1025" s="61" t="s">
        <v>2630</v>
      </c>
      <c r="C1025" s="39" t="s">
        <v>2631</v>
      </c>
      <c r="D1025" s="20" t="s">
        <v>1035</v>
      </c>
      <c r="E1025" s="54" t="s">
        <v>447</v>
      </c>
      <c r="F1025" s="54" t="s">
        <v>463</v>
      </c>
      <c r="G1025" s="23" t="s">
        <v>40</v>
      </c>
      <c r="H1025" s="39" t="s">
        <v>1828</v>
      </c>
      <c r="I1025" s="39"/>
      <c r="J1025" s="44">
        <v>120</v>
      </c>
      <c r="K1025" s="44"/>
      <c r="L1025" s="63">
        <v>120</v>
      </c>
      <c r="M1025" s="64" t="s">
        <v>2216</v>
      </c>
      <c r="N1025" s="2"/>
    </row>
    <row r="1026" spans="1:14" ht="14.4">
      <c r="A1026" s="42">
        <v>45908</v>
      </c>
      <c r="B1026" s="61" t="s">
        <v>2632</v>
      </c>
      <c r="C1026" s="39" t="s">
        <v>2633</v>
      </c>
      <c r="D1026" s="20" t="s">
        <v>1254</v>
      </c>
      <c r="E1026" s="54" t="s">
        <v>447</v>
      </c>
      <c r="F1026" s="54" t="s">
        <v>2618</v>
      </c>
      <c r="G1026" s="23" t="s">
        <v>23</v>
      </c>
      <c r="H1026" s="39" t="s">
        <v>2482</v>
      </c>
      <c r="I1026" s="39"/>
      <c r="J1026" s="44">
        <v>70</v>
      </c>
      <c r="K1026" s="44"/>
      <c r="L1026" s="63">
        <v>70</v>
      </c>
      <c r="M1026" s="64" t="s">
        <v>2216</v>
      </c>
      <c r="N1026" s="2"/>
    </row>
    <row r="1027" spans="1:14" ht="14.4">
      <c r="A1027" s="42">
        <v>45908</v>
      </c>
      <c r="B1027" s="61" t="s">
        <v>2634</v>
      </c>
      <c r="C1027" s="39" t="s">
        <v>2635</v>
      </c>
      <c r="D1027" s="20" t="s">
        <v>864</v>
      </c>
      <c r="E1027" s="54" t="s">
        <v>447</v>
      </c>
      <c r="F1027" s="54" t="s">
        <v>25</v>
      </c>
      <c r="G1027" s="23" t="s">
        <v>25</v>
      </c>
      <c r="H1027" s="39" t="s">
        <v>231</v>
      </c>
      <c r="I1027" s="39"/>
      <c r="J1027" s="44">
        <v>590</v>
      </c>
      <c r="K1027" s="44"/>
      <c r="L1027" s="63">
        <v>590</v>
      </c>
      <c r="M1027" s="64" t="s">
        <v>2216</v>
      </c>
      <c r="N1027" s="2"/>
    </row>
    <row r="1028" spans="1:14" ht="14.4">
      <c r="A1028" s="42">
        <v>45909</v>
      </c>
      <c r="B1028" s="61" t="s">
        <v>2636</v>
      </c>
      <c r="C1028" s="39"/>
      <c r="D1028" s="20" t="s">
        <v>974</v>
      </c>
      <c r="E1028" s="54" t="s">
        <v>447</v>
      </c>
      <c r="F1028" s="54" t="s">
        <v>487</v>
      </c>
      <c r="G1028" s="23" t="s">
        <v>40</v>
      </c>
      <c r="H1028" s="39" t="s">
        <v>2428</v>
      </c>
      <c r="I1028" s="39" t="s">
        <v>1535</v>
      </c>
      <c r="J1028" s="44">
        <v>640</v>
      </c>
      <c r="K1028" s="44"/>
      <c r="L1028" s="63">
        <v>640</v>
      </c>
      <c r="M1028" s="64" t="s">
        <v>2207</v>
      </c>
      <c r="N1028" s="2"/>
    </row>
    <row r="1029" spans="1:14" ht="14.4">
      <c r="A1029" s="42">
        <v>45908</v>
      </c>
      <c r="B1029" s="61" t="s">
        <v>2637</v>
      </c>
      <c r="C1029" s="39" t="s">
        <v>2638</v>
      </c>
      <c r="D1029" s="20" t="s">
        <v>1033</v>
      </c>
      <c r="E1029" s="54" t="s">
        <v>447</v>
      </c>
      <c r="F1029" s="54" t="s">
        <v>487</v>
      </c>
      <c r="G1029" s="23" t="s">
        <v>40</v>
      </c>
      <c r="H1029" s="39" t="s">
        <v>2590</v>
      </c>
      <c r="I1029" s="39" t="s">
        <v>1060</v>
      </c>
      <c r="J1029" s="44">
        <v>1900.8</v>
      </c>
      <c r="K1029" s="44"/>
      <c r="L1029" s="63">
        <v>1900.8</v>
      </c>
      <c r="M1029" s="64" t="s">
        <v>2216</v>
      </c>
      <c r="N1029" s="2"/>
    </row>
    <row r="1030" spans="1:14" ht="14.4">
      <c r="A1030" s="42">
        <v>45909</v>
      </c>
      <c r="B1030" s="61" t="s">
        <v>2639</v>
      </c>
      <c r="C1030" s="39" t="s">
        <v>2640</v>
      </c>
      <c r="D1030" s="20" t="s">
        <v>974</v>
      </c>
      <c r="E1030" s="54" t="s">
        <v>447</v>
      </c>
      <c r="F1030" s="54" t="s">
        <v>487</v>
      </c>
      <c r="G1030" s="23" t="s">
        <v>40</v>
      </c>
      <c r="H1030" s="39" t="s">
        <v>2428</v>
      </c>
      <c r="I1030" s="39" t="s">
        <v>1085</v>
      </c>
      <c r="J1030" s="44">
        <v>440</v>
      </c>
      <c r="K1030" s="44"/>
      <c r="L1030" s="63">
        <v>440</v>
      </c>
      <c r="M1030" s="64" t="s">
        <v>2216</v>
      </c>
      <c r="N1030" s="2"/>
    </row>
    <row r="1031" spans="1:14" ht="14.4">
      <c r="A1031" s="42">
        <v>45909</v>
      </c>
      <c r="B1031" s="61" t="s">
        <v>2641</v>
      </c>
      <c r="C1031" s="39" t="s">
        <v>2642</v>
      </c>
      <c r="D1031" s="20" t="s">
        <v>1254</v>
      </c>
      <c r="E1031" s="54" t="s">
        <v>447</v>
      </c>
      <c r="F1031" s="54" t="s">
        <v>2618</v>
      </c>
      <c r="G1031" s="23" t="s">
        <v>23</v>
      </c>
      <c r="H1031" s="39" t="s">
        <v>2504</v>
      </c>
      <c r="I1031" s="39" t="s">
        <v>1159</v>
      </c>
      <c r="J1031" s="44">
        <v>80</v>
      </c>
      <c r="K1031" s="44"/>
      <c r="L1031" s="63">
        <v>80</v>
      </c>
      <c r="M1031" s="64" t="s">
        <v>2216</v>
      </c>
      <c r="N1031" s="2"/>
    </row>
    <row r="1032" spans="1:14" ht="14.4">
      <c r="A1032" s="42">
        <v>45909</v>
      </c>
      <c r="B1032" s="61" t="s">
        <v>2643</v>
      </c>
      <c r="C1032" s="39" t="s">
        <v>2644</v>
      </c>
      <c r="D1032" s="20" t="s">
        <v>1035</v>
      </c>
      <c r="E1032" s="54" t="s">
        <v>447</v>
      </c>
      <c r="F1032" s="54" t="s">
        <v>463</v>
      </c>
      <c r="G1032" s="23" t="s">
        <v>40</v>
      </c>
      <c r="H1032" s="39" t="s">
        <v>1828</v>
      </c>
      <c r="I1032" s="39" t="s">
        <v>1197</v>
      </c>
      <c r="J1032" s="44">
        <v>140</v>
      </c>
      <c r="K1032" s="44"/>
      <c r="L1032" s="63">
        <v>140</v>
      </c>
      <c r="M1032" s="64" t="s">
        <v>2216</v>
      </c>
      <c r="N1032" s="2"/>
    </row>
    <row r="1033" spans="1:14" ht="14.4">
      <c r="A1033" s="42">
        <v>45911</v>
      </c>
      <c r="B1033" s="61" t="s">
        <v>2645</v>
      </c>
      <c r="C1033" s="181" t="s">
        <v>2646</v>
      </c>
      <c r="D1033" s="20" t="s">
        <v>27</v>
      </c>
      <c r="E1033" s="54" t="s">
        <v>447</v>
      </c>
      <c r="F1033" s="54" t="s">
        <v>27</v>
      </c>
      <c r="G1033" s="23" t="s">
        <v>27</v>
      </c>
      <c r="H1033" s="39" t="s">
        <v>2550</v>
      </c>
      <c r="I1033" s="39" t="s">
        <v>1142</v>
      </c>
      <c r="J1033" s="44">
        <v>450</v>
      </c>
      <c r="K1033" s="44"/>
      <c r="L1033" s="63">
        <v>450</v>
      </c>
      <c r="M1033" s="64" t="s">
        <v>2207</v>
      </c>
      <c r="N1033" s="2"/>
    </row>
    <row r="1034" spans="1:14" ht="14.4">
      <c r="A1034" s="42">
        <v>45911</v>
      </c>
      <c r="B1034" s="61" t="s">
        <v>2647</v>
      </c>
      <c r="C1034" s="181" t="s">
        <v>2648</v>
      </c>
      <c r="D1034" s="20" t="s">
        <v>27</v>
      </c>
      <c r="E1034" s="54" t="s">
        <v>447</v>
      </c>
      <c r="F1034" s="54" t="s">
        <v>27</v>
      </c>
      <c r="G1034" s="23" t="s">
        <v>27</v>
      </c>
      <c r="H1034" s="39" t="s">
        <v>2550</v>
      </c>
      <c r="I1034" s="39" t="s">
        <v>1173</v>
      </c>
      <c r="J1034" s="44">
        <v>94</v>
      </c>
      <c r="K1034" s="44"/>
      <c r="L1034" s="63">
        <v>94.4</v>
      </c>
      <c r="M1034" s="64" t="s">
        <v>2207</v>
      </c>
      <c r="N1034" s="2"/>
    </row>
    <row r="1035" spans="1:14" ht="14.4">
      <c r="A1035" s="42" t="s">
        <v>2649</v>
      </c>
      <c r="B1035" s="61" t="s">
        <v>2650</v>
      </c>
      <c r="C1035" s="181" t="s">
        <v>2651</v>
      </c>
      <c r="D1035" s="20" t="s">
        <v>974</v>
      </c>
      <c r="E1035" s="54" t="s">
        <v>447</v>
      </c>
      <c r="F1035" s="54" t="s">
        <v>463</v>
      </c>
      <c r="G1035" s="23" t="s">
        <v>40</v>
      </c>
      <c r="H1035" s="39" t="s">
        <v>1828</v>
      </c>
      <c r="I1035" s="39" t="s">
        <v>1094</v>
      </c>
      <c r="J1035" s="44">
        <v>150</v>
      </c>
      <c r="K1035" s="44"/>
      <c r="L1035" s="63">
        <v>150</v>
      </c>
      <c r="M1035" s="64" t="s">
        <v>2207</v>
      </c>
      <c r="N1035" s="2"/>
    </row>
    <row r="1036" spans="1:14" ht="14.4">
      <c r="A1036" s="42">
        <v>45911</v>
      </c>
      <c r="B1036" s="61" t="s">
        <v>2652</v>
      </c>
      <c r="C1036" s="181" t="s">
        <v>2653</v>
      </c>
      <c r="D1036" s="20" t="s">
        <v>974</v>
      </c>
      <c r="E1036" s="54" t="s">
        <v>447</v>
      </c>
      <c r="F1036" s="54" t="s">
        <v>252</v>
      </c>
      <c r="G1036" s="23" t="s">
        <v>23</v>
      </c>
      <c r="H1036" s="39" t="s">
        <v>2380</v>
      </c>
      <c r="I1036" s="39" t="s">
        <v>1142</v>
      </c>
      <c r="J1036" s="44">
        <v>80</v>
      </c>
      <c r="K1036" s="44"/>
      <c r="L1036" s="63">
        <v>80</v>
      </c>
      <c r="M1036" s="64" t="s">
        <v>2207</v>
      </c>
      <c r="N1036" s="2"/>
    </row>
    <row r="1037" spans="1:14" ht="14.4">
      <c r="A1037" s="42">
        <v>45911</v>
      </c>
      <c r="B1037" s="61" t="s">
        <v>2115</v>
      </c>
      <c r="C1037" s="39" t="s">
        <v>2654</v>
      </c>
      <c r="D1037" s="20" t="s">
        <v>974</v>
      </c>
      <c r="E1037" s="54" t="s">
        <v>447</v>
      </c>
      <c r="F1037" s="54" t="s">
        <v>252</v>
      </c>
      <c r="G1037" s="23" t="s">
        <v>23</v>
      </c>
      <c r="H1037" s="39" t="s">
        <v>2504</v>
      </c>
      <c r="I1037" s="39" t="s">
        <v>1164</v>
      </c>
      <c r="J1037" s="44">
        <v>110</v>
      </c>
      <c r="K1037" s="44"/>
      <c r="L1037" s="63">
        <v>220</v>
      </c>
      <c r="M1037" s="64" t="s">
        <v>2207</v>
      </c>
      <c r="N1037" s="2"/>
    </row>
    <row r="1038" spans="1:14" ht="14.4">
      <c r="A1038" s="42">
        <v>45911</v>
      </c>
      <c r="B1038" s="61" t="s">
        <v>2655</v>
      </c>
      <c r="C1038" s="39" t="s">
        <v>2656</v>
      </c>
      <c r="D1038" s="20" t="s">
        <v>280</v>
      </c>
      <c r="E1038" s="54" t="s">
        <v>447</v>
      </c>
      <c r="F1038" s="54" t="s">
        <v>252</v>
      </c>
      <c r="G1038" s="23" t="s">
        <v>23</v>
      </c>
      <c r="H1038" s="39" t="s">
        <v>2469</v>
      </c>
      <c r="I1038" s="39" t="s">
        <v>1111</v>
      </c>
      <c r="J1038" s="44">
        <v>55</v>
      </c>
      <c r="K1038" s="44"/>
      <c r="L1038" s="63">
        <v>110</v>
      </c>
      <c r="M1038" s="64" t="s">
        <v>2207</v>
      </c>
      <c r="N1038" s="2"/>
    </row>
    <row r="1039" spans="1:14" ht="14.4">
      <c r="A1039" s="42"/>
      <c r="B1039" s="61"/>
      <c r="C1039" s="39"/>
      <c r="D1039" s="20"/>
      <c r="E1039" s="54"/>
      <c r="F1039" s="54"/>
      <c r="G1039" s="23"/>
      <c r="H1039" s="39"/>
      <c r="I1039" s="39"/>
      <c r="J1039" s="44"/>
      <c r="K1039" s="44"/>
      <c r="L1039" s="63"/>
      <c r="M1039" s="64"/>
      <c r="N1039" s="2"/>
    </row>
    <row r="1040" spans="1:14" ht="14.4">
      <c r="A1040" s="42"/>
      <c r="B1040" s="61"/>
      <c r="C1040" s="39"/>
      <c r="D1040" s="20"/>
      <c r="E1040" s="54"/>
      <c r="F1040" s="54"/>
      <c r="G1040" s="23"/>
      <c r="H1040" s="39"/>
      <c r="I1040" s="39"/>
      <c r="J1040" s="44"/>
      <c r="K1040" s="44"/>
      <c r="L1040" s="63"/>
      <c r="M1040" s="64"/>
      <c r="N1040" s="2"/>
    </row>
    <row r="1041" spans="1:14" ht="14.4">
      <c r="A1041" s="42"/>
      <c r="B1041" s="61"/>
      <c r="C1041" s="39"/>
      <c r="D1041" s="20"/>
      <c r="E1041" s="54"/>
      <c r="F1041" s="54"/>
      <c r="G1041" s="23"/>
      <c r="H1041" s="39"/>
      <c r="I1041" s="39"/>
      <c r="J1041" s="44"/>
      <c r="K1041" s="44"/>
      <c r="L1041" s="63"/>
      <c r="M1041" s="64"/>
      <c r="N1041" s="2"/>
    </row>
    <row r="1042" spans="1:14" ht="14.4">
      <c r="A1042" s="42"/>
      <c r="B1042" s="61"/>
      <c r="C1042" s="39"/>
      <c r="D1042" s="20"/>
      <c r="E1042" s="54"/>
      <c r="F1042" s="54"/>
      <c r="G1042" s="23"/>
      <c r="H1042" s="39"/>
      <c r="I1042" s="39"/>
      <c r="J1042" s="44"/>
      <c r="K1042" s="44"/>
      <c r="L1042" s="63"/>
      <c r="M1042" s="64"/>
      <c r="N1042" s="2"/>
    </row>
    <row r="1043" spans="1:14" ht="14.4">
      <c r="A1043" s="42"/>
      <c r="B1043" s="61"/>
      <c r="C1043" s="39"/>
      <c r="D1043" s="20"/>
      <c r="E1043" s="54"/>
      <c r="F1043" s="54"/>
      <c r="G1043" s="23"/>
      <c r="H1043" s="39"/>
      <c r="I1043" s="39"/>
      <c r="J1043" s="44"/>
      <c r="K1043" s="44"/>
      <c r="L1043" s="63"/>
      <c r="M1043" s="64"/>
      <c r="N1043" s="2"/>
    </row>
    <row r="1044" spans="1:14" ht="14.4">
      <c r="A1044" s="42"/>
      <c r="B1044" s="61"/>
      <c r="C1044" s="39"/>
      <c r="D1044" s="20"/>
      <c r="E1044" s="54"/>
      <c r="F1044" s="54"/>
      <c r="G1044" s="23"/>
      <c r="H1044" s="39"/>
      <c r="I1044" s="39"/>
      <c r="J1044" s="44"/>
      <c r="K1044" s="44"/>
      <c r="L1044" s="63"/>
      <c r="M1044" s="64"/>
      <c r="N1044" s="2"/>
    </row>
    <row r="1045" spans="1:14" ht="14.4">
      <c r="A1045" s="42"/>
      <c r="B1045" s="61"/>
      <c r="C1045" s="39"/>
      <c r="D1045" s="20"/>
      <c r="E1045" s="54"/>
      <c r="F1045" s="54"/>
      <c r="G1045" s="23"/>
      <c r="H1045" s="39"/>
      <c r="I1045" s="39"/>
      <c r="J1045" s="44"/>
      <c r="K1045" s="44"/>
      <c r="L1045" s="63"/>
      <c r="M1045" s="64"/>
      <c r="N1045" s="2"/>
    </row>
    <row r="1046" spans="1:14" ht="14.4">
      <c r="A1046" s="42"/>
      <c r="B1046" s="61"/>
      <c r="C1046" s="39"/>
      <c r="D1046" s="20"/>
      <c r="E1046" s="54"/>
      <c r="F1046" s="54"/>
      <c r="G1046" s="23"/>
      <c r="H1046" s="39"/>
      <c r="I1046" s="39"/>
      <c r="J1046" s="44"/>
      <c r="K1046" s="44"/>
      <c r="L1046" s="63"/>
      <c r="M1046" s="64"/>
      <c r="N1046" s="2"/>
    </row>
    <row r="1047" spans="1:14" ht="14.4">
      <c r="A1047" s="42"/>
      <c r="B1047" s="61"/>
      <c r="C1047" s="39"/>
      <c r="D1047" s="20"/>
      <c r="E1047" s="54"/>
      <c r="F1047" s="54"/>
      <c r="G1047" s="23"/>
      <c r="H1047" s="39"/>
      <c r="I1047" s="39"/>
      <c r="J1047" s="44"/>
      <c r="K1047" s="44"/>
      <c r="L1047" s="63"/>
      <c r="M1047" s="64"/>
      <c r="N1047" s="2"/>
    </row>
    <row r="1048" spans="1:14" ht="14.4">
      <c r="A1048" s="42"/>
      <c r="B1048" s="61"/>
      <c r="C1048" s="39"/>
      <c r="D1048" s="20"/>
      <c r="E1048" s="54"/>
      <c r="F1048" s="54"/>
      <c r="G1048" s="23"/>
      <c r="H1048" s="39"/>
      <c r="I1048" s="39"/>
      <c r="J1048" s="44"/>
      <c r="K1048" s="44"/>
      <c r="L1048" s="63"/>
      <c r="M1048" s="64"/>
      <c r="N1048" s="2"/>
    </row>
    <row r="1049" spans="1:14" ht="14.4">
      <c r="A1049" s="42"/>
      <c r="B1049" s="61"/>
      <c r="C1049" s="39"/>
      <c r="D1049" s="20"/>
      <c r="E1049" s="54"/>
      <c r="F1049" s="54"/>
      <c r="G1049" s="23"/>
      <c r="H1049" s="39"/>
      <c r="I1049" s="39"/>
      <c r="J1049" s="44"/>
      <c r="K1049" s="44"/>
      <c r="L1049" s="63"/>
      <c r="M1049" s="64"/>
      <c r="N1049" s="2"/>
    </row>
    <row r="1050" spans="1:14" ht="14.4">
      <c r="A1050" s="42"/>
      <c r="B1050" s="61"/>
      <c r="C1050" s="39"/>
      <c r="D1050" s="20"/>
      <c r="E1050" s="54"/>
      <c r="F1050" s="54"/>
      <c r="G1050" s="23"/>
      <c r="H1050" s="39"/>
      <c r="I1050" s="39"/>
      <c r="J1050" s="44"/>
      <c r="K1050" s="44"/>
      <c r="L1050" s="63"/>
      <c r="M1050" s="64"/>
      <c r="N1050" s="2"/>
    </row>
    <row r="1051" spans="1:14" ht="14.4">
      <c r="A1051" s="42"/>
      <c r="B1051" s="61"/>
      <c r="C1051" s="39"/>
      <c r="D1051" s="20"/>
      <c r="E1051" s="54"/>
      <c r="F1051" s="54"/>
      <c r="G1051" s="23"/>
      <c r="H1051" s="39"/>
      <c r="I1051" s="39"/>
      <c r="J1051" s="44"/>
      <c r="K1051" s="44"/>
      <c r="L1051" s="63"/>
      <c r="M1051" s="64"/>
      <c r="N1051" s="2"/>
    </row>
    <row r="1052" spans="1:14" ht="14.4">
      <c r="A1052" s="42"/>
      <c r="B1052" s="61"/>
      <c r="C1052" s="39"/>
      <c r="D1052" s="20"/>
      <c r="E1052" s="54"/>
      <c r="F1052" s="54"/>
      <c r="G1052" s="23"/>
      <c r="H1052" s="39"/>
      <c r="I1052" s="39"/>
      <c r="J1052" s="44"/>
      <c r="K1052" s="44"/>
      <c r="L1052" s="63"/>
      <c r="M1052" s="64"/>
      <c r="N1052" s="2"/>
    </row>
    <row r="1053" spans="1:14" ht="14.4">
      <c r="A1053" s="42"/>
      <c r="B1053" s="61"/>
      <c r="C1053" s="39"/>
      <c r="D1053" s="20"/>
      <c r="E1053" s="54"/>
      <c r="F1053" s="54"/>
      <c r="G1053" s="23"/>
      <c r="H1053" s="39"/>
      <c r="I1053" s="39"/>
      <c r="J1053" s="44"/>
      <c r="K1053" s="44"/>
      <c r="L1053" s="63"/>
      <c r="M1053" s="64"/>
      <c r="N1053" s="2"/>
    </row>
    <row r="1054" spans="1:14" ht="14.4">
      <c r="A1054" s="42"/>
      <c r="B1054" s="61"/>
      <c r="C1054" s="39"/>
      <c r="D1054" s="20"/>
      <c r="E1054" s="54"/>
      <c r="F1054" s="54"/>
      <c r="G1054" s="23"/>
      <c r="H1054" s="39"/>
      <c r="I1054" s="39"/>
      <c r="J1054" s="44"/>
      <c r="K1054" s="44"/>
      <c r="L1054" s="63"/>
      <c r="M1054" s="64"/>
      <c r="N1054" s="2"/>
    </row>
    <row r="1055" spans="1:14" ht="14.4">
      <c r="A1055" s="42"/>
      <c r="B1055" s="61"/>
      <c r="C1055" s="39"/>
      <c r="D1055" s="20"/>
      <c r="E1055" s="54"/>
      <c r="F1055" s="54"/>
      <c r="G1055" s="23"/>
      <c r="H1055" s="39"/>
      <c r="I1055" s="39"/>
      <c r="J1055" s="44"/>
      <c r="K1055" s="44"/>
      <c r="L1055" s="63"/>
      <c r="M1055" s="64"/>
      <c r="N1055" s="2"/>
    </row>
    <row r="1056" spans="1:14" ht="14.4">
      <c r="A1056" s="42"/>
      <c r="B1056" s="61"/>
      <c r="C1056" s="39"/>
      <c r="D1056" s="20"/>
      <c r="E1056" s="54"/>
      <c r="F1056" s="54"/>
      <c r="G1056" s="23"/>
      <c r="H1056" s="39"/>
      <c r="I1056" s="39"/>
      <c r="J1056" s="44"/>
      <c r="K1056" s="44"/>
      <c r="L1056" s="63"/>
      <c r="M1056" s="64"/>
      <c r="N1056" s="2"/>
    </row>
    <row r="1057" spans="1:14" ht="14.4">
      <c r="A1057" s="42"/>
      <c r="B1057" s="61"/>
      <c r="C1057" s="39"/>
      <c r="D1057" s="20"/>
      <c r="E1057" s="54"/>
      <c r="F1057" s="54"/>
      <c r="G1057" s="23"/>
      <c r="H1057" s="39"/>
      <c r="I1057" s="39"/>
      <c r="J1057" s="44"/>
      <c r="K1057" s="44"/>
      <c r="L1057" s="63"/>
      <c r="M1057" s="64"/>
      <c r="N1057" s="2"/>
    </row>
    <row r="1058" spans="1:14" ht="14.4">
      <c r="A1058" s="42"/>
      <c r="B1058" s="61"/>
      <c r="C1058" s="39"/>
      <c r="D1058" s="20"/>
      <c r="E1058" s="54"/>
      <c r="F1058" s="54"/>
      <c r="G1058" s="23"/>
      <c r="H1058" s="39"/>
      <c r="I1058" s="39"/>
      <c r="J1058" s="44"/>
      <c r="K1058" s="44"/>
      <c r="L1058" s="63"/>
      <c r="M1058" s="64"/>
      <c r="N1058" s="2"/>
    </row>
    <row r="1059" spans="1:14" ht="14.4">
      <c r="A1059" s="42"/>
      <c r="B1059" s="61"/>
      <c r="C1059" s="39"/>
      <c r="D1059" s="20"/>
      <c r="E1059" s="54"/>
      <c r="F1059" s="54"/>
      <c r="G1059" s="23"/>
      <c r="H1059" s="39"/>
      <c r="I1059" s="39"/>
      <c r="J1059" s="44"/>
      <c r="K1059" s="44"/>
      <c r="L1059" s="63"/>
      <c r="M1059" s="64"/>
      <c r="N1059" s="2"/>
    </row>
    <row r="1060" spans="1:14" ht="14.4">
      <c r="A1060" s="42"/>
      <c r="B1060" s="61"/>
      <c r="C1060" s="39"/>
      <c r="D1060" s="20"/>
      <c r="E1060" s="54"/>
      <c r="F1060" s="54"/>
      <c r="G1060" s="23"/>
      <c r="H1060" s="39"/>
      <c r="I1060" s="39"/>
      <c r="J1060" s="44"/>
      <c r="K1060" s="44"/>
      <c r="L1060" s="63"/>
      <c r="M1060" s="64"/>
      <c r="N1060" s="2"/>
    </row>
    <row r="1061" spans="1:14" ht="14.4">
      <c r="A1061" s="42"/>
      <c r="B1061" s="61"/>
      <c r="C1061" s="39"/>
      <c r="D1061" s="20"/>
      <c r="E1061" s="54"/>
      <c r="F1061" s="54"/>
      <c r="G1061" s="23"/>
      <c r="H1061" s="39"/>
      <c r="I1061" s="39"/>
      <c r="J1061" s="44"/>
      <c r="K1061" s="44"/>
      <c r="L1061" s="63"/>
      <c r="M1061" s="64"/>
      <c r="N1061" s="2"/>
    </row>
    <row r="1062" spans="1:14" ht="14.4">
      <c r="A1062" s="42"/>
      <c r="B1062" s="61"/>
      <c r="C1062" s="39"/>
      <c r="D1062" s="20"/>
      <c r="E1062" s="54"/>
      <c r="F1062" s="54"/>
      <c r="G1062" s="23"/>
      <c r="H1062" s="39"/>
      <c r="I1062" s="39"/>
      <c r="J1062" s="44"/>
      <c r="K1062" s="44"/>
      <c r="L1062" s="63"/>
      <c r="M1062" s="64"/>
      <c r="N1062" s="2"/>
    </row>
    <row r="1063" spans="1:14" ht="14.4">
      <c r="A1063" s="42"/>
      <c r="B1063" s="61"/>
      <c r="C1063" s="39"/>
      <c r="D1063" s="20"/>
      <c r="E1063" s="54"/>
      <c r="F1063" s="54"/>
      <c r="G1063" s="23"/>
      <c r="H1063" s="39"/>
      <c r="I1063" s="39"/>
      <c r="J1063" s="44"/>
      <c r="K1063" s="44"/>
      <c r="L1063" s="63"/>
      <c r="M1063" s="64"/>
      <c r="N1063" s="2"/>
    </row>
    <row r="1064" spans="1:14" ht="14.4">
      <c r="A1064" s="42"/>
      <c r="B1064" s="61"/>
      <c r="C1064" s="39"/>
      <c r="D1064" s="20"/>
      <c r="E1064" s="54"/>
      <c r="F1064" s="54"/>
      <c r="G1064" s="23"/>
      <c r="H1064" s="39"/>
      <c r="I1064" s="39"/>
      <c r="J1064" s="44"/>
      <c r="K1064" s="44"/>
      <c r="L1064" s="63"/>
      <c r="M1064" s="64"/>
      <c r="N1064" s="2"/>
    </row>
    <row r="1065" spans="1:14" ht="14.4">
      <c r="A1065" s="42"/>
      <c r="B1065" s="61"/>
      <c r="C1065" s="39"/>
      <c r="D1065" s="20"/>
      <c r="E1065" s="54"/>
      <c r="F1065" s="54"/>
      <c r="G1065" s="23"/>
      <c r="H1065" s="39"/>
      <c r="I1065" s="39"/>
      <c r="J1065" s="44"/>
      <c r="K1065" s="44"/>
      <c r="L1065" s="63"/>
      <c r="M1065" s="64"/>
      <c r="N1065" s="2"/>
    </row>
    <row r="1066" spans="1:14" ht="14.4">
      <c r="A1066" s="42"/>
      <c r="B1066" s="61"/>
      <c r="C1066" s="39"/>
      <c r="D1066" s="20"/>
      <c r="E1066" s="54"/>
      <c r="F1066" s="54"/>
      <c r="G1066" s="23"/>
      <c r="H1066" s="39"/>
      <c r="I1066" s="39"/>
      <c r="J1066" s="44"/>
      <c r="K1066" s="44"/>
      <c r="L1066" s="63"/>
      <c r="M1066" s="64"/>
      <c r="N1066" s="2"/>
    </row>
    <row r="1067" spans="1:14" ht="14.4">
      <c r="A1067" s="42"/>
      <c r="B1067" s="61"/>
      <c r="C1067" s="39"/>
      <c r="D1067" s="20"/>
      <c r="E1067" s="54"/>
      <c r="F1067" s="54"/>
      <c r="G1067" s="23"/>
      <c r="H1067" s="39"/>
      <c r="I1067" s="39"/>
      <c r="J1067" s="44"/>
      <c r="K1067" s="44"/>
      <c r="L1067" s="63"/>
      <c r="M1067" s="64"/>
      <c r="N1067" s="2"/>
    </row>
    <row r="1068" spans="1:14" ht="14.4">
      <c r="A1068" s="42"/>
      <c r="B1068" s="61"/>
      <c r="C1068" s="39"/>
      <c r="D1068" s="20"/>
      <c r="E1068" s="54"/>
      <c r="F1068" s="54"/>
      <c r="G1068" s="23"/>
      <c r="H1068" s="39"/>
      <c r="I1068" s="39"/>
      <c r="J1068" s="44"/>
      <c r="K1068" s="44"/>
      <c r="L1068" s="63"/>
      <c r="M1068" s="64"/>
      <c r="N1068" s="2"/>
    </row>
    <row r="1069" spans="1:14" ht="14.4">
      <c r="A1069" s="42"/>
      <c r="B1069" s="61"/>
      <c r="C1069" s="39"/>
      <c r="D1069" s="20"/>
      <c r="E1069" s="54"/>
      <c r="F1069" s="54"/>
      <c r="G1069" s="23"/>
      <c r="H1069" s="39"/>
      <c r="I1069" s="39"/>
      <c r="J1069" s="44"/>
      <c r="K1069" s="44"/>
      <c r="L1069" s="63"/>
      <c r="M1069" s="64"/>
      <c r="N1069" s="2"/>
    </row>
    <row r="1070" spans="1:14" ht="14.4">
      <c r="A1070" s="42"/>
      <c r="B1070" s="61"/>
      <c r="C1070" s="39"/>
      <c r="D1070" s="20"/>
      <c r="E1070" s="54"/>
      <c r="F1070" s="54"/>
      <c r="G1070" s="23"/>
      <c r="H1070" s="39"/>
      <c r="I1070" s="39"/>
      <c r="J1070" s="44"/>
      <c r="K1070" s="44"/>
      <c r="L1070" s="63"/>
      <c r="M1070" s="64"/>
      <c r="N1070" s="2"/>
    </row>
    <row r="1071" spans="1:14" ht="14.4">
      <c r="A1071" s="42"/>
      <c r="B1071" s="61"/>
      <c r="C1071" s="39"/>
      <c r="D1071" s="20"/>
      <c r="E1071" s="54"/>
      <c r="F1071" s="54"/>
      <c r="G1071" s="23"/>
      <c r="H1071" s="39"/>
      <c r="I1071" s="39"/>
      <c r="J1071" s="44"/>
      <c r="K1071" s="44"/>
      <c r="L1071" s="63"/>
      <c r="M1071" s="64"/>
      <c r="N1071" s="2"/>
    </row>
    <row r="1072" spans="1:14" ht="14.4">
      <c r="A1072" s="42"/>
      <c r="B1072" s="61"/>
      <c r="C1072" s="39"/>
      <c r="D1072" s="20"/>
      <c r="E1072" s="54"/>
      <c r="F1072" s="54"/>
      <c r="G1072" s="23"/>
      <c r="H1072" s="39"/>
      <c r="I1072" s="39"/>
      <c r="J1072" s="44"/>
      <c r="K1072" s="44"/>
      <c r="L1072" s="63"/>
      <c r="M1072" s="64"/>
      <c r="N1072" s="2"/>
    </row>
    <row r="1073" spans="1:14" ht="14.4">
      <c r="A1073" s="42"/>
      <c r="B1073" s="61"/>
      <c r="C1073" s="39"/>
      <c r="D1073" s="20"/>
      <c r="E1073" s="54"/>
      <c r="F1073" s="54"/>
      <c r="G1073" s="23"/>
      <c r="H1073" s="39"/>
      <c r="I1073" s="39"/>
      <c r="J1073" s="44"/>
      <c r="K1073" s="44"/>
      <c r="L1073" s="63"/>
      <c r="M1073" s="64"/>
      <c r="N1073" s="2"/>
    </row>
    <row r="1074" spans="1:14" ht="14.4">
      <c r="A1074" s="42"/>
      <c r="B1074" s="61"/>
      <c r="C1074" s="39"/>
      <c r="D1074" s="20"/>
      <c r="E1074" s="54"/>
      <c r="F1074" s="54"/>
      <c r="G1074" s="23"/>
      <c r="H1074" s="39"/>
      <c r="I1074" s="39"/>
      <c r="J1074" s="44"/>
      <c r="K1074" s="44"/>
      <c r="L1074" s="63"/>
      <c r="M1074" s="64"/>
      <c r="N1074" s="2"/>
    </row>
    <row r="1075" spans="1:14" ht="14.4">
      <c r="A1075" s="42"/>
      <c r="B1075" s="61"/>
      <c r="C1075" s="39"/>
      <c r="D1075" s="20"/>
      <c r="E1075" s="54"/>
      <c r="F1075" s="54"/>
      <c r="G1075" s="23"/>
      <c r="H1075" s="39"/>
      <c r="I1075" s="39"/>
      <c r="J1075" s="44"/>
      <c r="K1075" s="44"/>
      <c r="L1075" s="63"/>
      <c r="M1075" s="64"/>
      <c r="N1075" s="2"/>
    </row>
    <row r="1076" spans="1:14" ht="14.4">
      <c r="A1076" s="42"/>
      <c r="B1076" s="61"/>
      <c r="C1076" s="39"/>
      <c r="D1076" s="20"/>
      <c r="E1076" s="54"/>
      <c r="F1076" s="54"/>
      <c r="G1076" s="23"/>
      <c r="H1076" s="39"/>
      <c r="I1076" s="39"/>
      <c r="J1076" s="44"/>
      <c r="K1076" s="44"/>
      <c r="L1076" s="63"/>
      <c r="M1076" s="64"/>
      <c r="N1076" s="2"/>
    </row>
    <row r="1077" spans="1:14" ht="14.4">
      <c r="A1077" s="42"/>
      <c r="B1077" s="61"/>
      <c r="C1077" s="39"/>
      <c r="D1077" s="20"/>
      <c r="E1077" s="54"/>
      <c r="F1077" s="54"/>
      <c r="G1077" s="23"/>
      <c r="H1077" s="39"/>
      <c r="I1077" s="39"/>
      <c r="J1077" s="44"/>
      <c r="K1077" s="44"/>
      <c r="L1077" s="63"/>
      <c r="M1077" s="64"/>
      <c r="N1077" s="2"/>
    </row>
    <row r="1078" spans="1:14" ht="14.4">
      <c r="A1078" s="42"/>
      <c r="B1078" s="61"/>
      <c r="C1078" s="39"/>
      <c r="D1078" s="20"/>
      <c r="E1078" s="54"/>
      <c r="F1078" s="54"/>
      <c r="G1078" s="23"/>
      <c r="H1078" s="39"/>
      <c r="I1078" s="39"/>
      <c r="J1078" s="44"/>
      <c r="K1078" s="44"/>
      <c r="L1078" s="63"/>
      <c r="M1078" s="64"/>
      <c r="N1078" s="2"/>
    </row>
    <row r="1079" spans="1:14" ht="14.4">
      <c r="A1079" s="42"/>
      <c r="B1079" s="61"/>
      <c r="C1079" s="39"/>
      <c r="D1079" s="20"/>
      <c r="E1079" s="54"/>
      <c r="F1079" s="54"/>
      <c r="G1079" s="23"/>
      <c r="H1079" s="39"/>
      <c r="I1079" s="39"/>
      <c r="J1079" s="44"/>
      <c r="K1079" s="44"/>
      <c r="L1079" s="63"/>
      <c r="M1079" s="64"/>
      <c r="N1079" s="2"/>
    </row>
    <row r="1080" spans="1:14" ht="14.4">
      <c r="A1080" s="42"/>
      <c r="B1080" s="61"/>
      <c r="C1080" s="39"/>
      <c r="D1080" s="20"/>
      <c r="E1080" s="54"/>
      <c r="F1080" s="54"/>
      <c r="G1080" s="23"/>
      <c r="H1080" s="39"/>
      <c r="I1080" s="39"/>
      <c r="J1080" s="44"/>
      <c r="K1080" s="44"/>
      <c r="L1080" s="63"/>
      <c r="M1080" s="64"/>
      <c r="N1080" s="2"/>
    </row>
    <row r="1081" spans="1:14" ht="14.4">
      <c r="A1081" s="42"/>
      <c r="B1081" s="61"/>
      <c r="C1081" s="39"/>
      <c r="D1081" s="20"/>
      <c r="E1081" s="54"/>
      <c r="F1081" s="54"/>
      <c r="G1081" s="23"/>
      <c r="H1081" s="39"/>
      <c r="I1081" s="39"/>
      <c r="J1081" s="44"/>
      <c r="K1081" s="44"/>
      <c r="L1081" s="63"/>
      <c r="M1081" s="64"/>
      <c r="N1081" s="2"/>
    </row>
    <row r="1082" spans="1:14" ht="14.4">
      <c r="A1082" s="42"/>
      <c r="B1082" s="61"/>
      <c r="C1082" s="39"/>
      <c r="D1082" s="20"/>
      <c r="E1082" s="54"/>
      <c r="F1082" s="54"/>
      <c r="G1082" s="23"/>
      <c r="H1082" s="39"/>
      <c r="I1082" s="39"/>
      <c r="J1082" s="44"/>
      <c r="K1082" s="44"/>
      <c r="L1082" s="63"/>
      <c r="M1082" s="64"/>
      <c r="N1082" s="2"/>
    </row>
    <row r="1083" spans="1:14" ht="14.4">
      <c r="A1083" s="42"/>
      <c r="B1083" s="61"/>
      <c r="C1083" s="39"/>
      <c r="D1083" s="20"/>
      <c r="E1083" s="54"/>
      <c r="F1083" s="54"/>
      <c r="G1083" s="23"/>
      <c r="H1083" s="39"/>
      <c r="I1083" s="39"/>
      <c r="J1083" s="44"/>
      <c r="K1083" s="44"/>
      <c r="L1083" s="63"/>
      <c r="M1083" s="64"/>
      <c r="N1083" s="2"/>
    </row>
    <row r="1084" spans="1:14" ht="14.4">
      <c r="A1084" s="42"/>
      <c r="B1084" s="61"/>
      <c r="C1084" s="39"/>
      <c r="D1084" s="20"/>
      <c r="E1084" s="54"/>
      <c r="F1084" s="54"/>
      <c r="G1084" s="23"/>
      <c r="H1084" s="39"/>
      <c r="I1084" s="39"/>
      <c r="J1084" s="44"/>
      <c r="K1084" s="44"/>
      <c r="L1084" s="63"/>
      <c r="M1084" s="64"/>
      <c r="N1084" s="2"/>
    </row>
    <row r="1085" spans="1:14" ht="14.4">
      <c r="A1085" s="42"/>
      <c r="B1085" s="61"/>
      <c r="C1085" s="39"/>
      <c r="D1085" s="20"/>
      <c r="E1085" s="54"/>
      <c r="F1085" s="54"/>
      <c r="G1085" s="23"/>
      <c r="H1085" s="39"/>
      <c r="I1085" s="39"/>
      <c r="J1085" s="44"/>
      <c r="K1085" s="44"/>
      <c r="L1085" s="63"/>
      <c r="M1085" s="64"/>
      <c r="N1085" s="2"/>
    </row>
    <row r="1086" spans="1:14" ht="14.4">
      <c r="A1086" s="42"/>
      <c r="B1086" s="61"/>
      <c r="C1086" s="39"/>
      <c r="D1086" s="20"/>
      <c r="E1086" s="54"/>
      <c r="F1086" s="54"/>
      <c r="G1086" s="23"/>
      <c r="H1086" s="39"/>
      <c r="I1086" s="39"/>
      <c r="J1086" s="44"/>
      <c r="K1086" s="44"/>
      <c r="L1086" s="63"/>
      <c r="M1086" s="64"/>
      <c r="N1086" s="2"/>
    </row>
    <row r="1087" spans="1:14" ht="14.4">
      <c r="A1087" s="42"/>
      <c r="B1087" s="61"/>
      <c r="C1087" s="39"/>
      <c r="D1087" s="20"/>
      <c r="E1087" s="54"/>
      <c r="F1087" s="54"/>
      <c r="G1087" s="23"/>
      <c r="H1087" s="39"/>
      <c r="I1087" s="39"/>
      <c r="J1087" s="44"/>
      <c r="K1087" s="44"/>
      <c r="L1087" s="63"/>
      <c r="M1087" s="64"/>
      <c r="N1087" s="2"/>
    </row>
    <row r="1088" spans="1:14" ht="14.4">
      <c r="A1088" s="42"/>
      <c r="B1088" s="61"/>
      <c r="C1088" s="39"/>
      <c r="D1088" s="20"/>
      <c r="E1088" s="54"/>
      <c r="F1088" s="54"/>
      <c r="G1088" s="23"/>
      <c r="H1088" s="39"/>
      <c r="I1088" s="39"/>
      <c r="J1088" s="44"/>
      <c r="K1088" s="44"/>
      <c r="L1088" s="63"/>
      <c r="M1088" s="64"/>
      <c r="N1088" s="2"/>
    </row>
    <row r="1089" spans="1:14" ht="14.4">
      <c r="A1089" s="42"/>
      <c r="B1089" s="61"/>
      <c r="C1089" s="39"/>
      <c r="D1089" s="20"/>
      <c r="E1089" s="54"/>
      <c r="F1089" s="54"/>
      <c r="G1089" s="23"/>
      <c r="H1089" s="39"/>
      <c r="I1089" s="39"/>
      <c r="J1089" s="44"/>
      <c r="K1089" s="44"/>
      <c r="L1089" s="63"/>
      <c r="M1089" s="64"/>
      <c r="N1089" s="2"/>
    </row>
    <row r="1090" spans="1:14" ht="14.4">
      <c r="A1090" s="42"/>
      <c r="B1090" s="61"/>
      <c r="C1090" s="39"/>
      <c r="D1090" s="20"/>
      <c r="E1090" s="54"/>
      <c r="F1090" s="54"/>
      <c r="G1090" s="23"/>
      <c r="H1090" s="39"/>
      <c r="I1090" s="39"/>
      <c r="J1090" s="44"/>
      <c r="K1090" s="44"/>
      <c r="L1090" s="63"/>
      <c r="M1090" s="64"/>
      <c r="N1090" s="2"/>
    </row>
    <row r="1091" spans="1:14" ht="14.4">
      <c r="A1091" s="42"/>
      <c r="B1091" s="61"/>
      <c r="C1091" s="39"/>
      <c r="D1091" s="20"/>
      <c r="E1091" s="54"/>
      <c r="F1091" s="54"/>
      <c r="G1091" s="23"/>
      <c r="H1091" s="39"/>
      <c r="I1091" s="39"/>
      <c r="J1091" s="44"/>
      <c r="K1091" s="44"/>
      <c r="L1091" s="63"/>
      <c r="M1091" s="64"/>
      <c r="N1091" s="2"/>
    </row>
    <row r="1092" spans="1:14" ht="14.4">
      <c r="A1092" s="42"/>
      <c r="B1092" s="61"/>
      <c r="C1092" s="39"/>
      <c r="D1092" s="20"/>
      <c r="E1092" s="54"/>
      <c r="F1092" s="54"/>
      <c r="G1092" s="23"/>
      <c r="H1092" s="39"/>
      <c r="I1092" s="39"/>
      <c r="J1092" s="44"/>
      <c r="K1092" s="44"/>
      <c r="L1092" s="63"/>
      <c r="M1092" s="64"/>
      <c r="N1092" s="2"/>
    </row>
    <row r="1093" spans="1:14" ht="14.4">
      <c r="A1093" s="42"/>
      <c r="B1093" s="61"/>
      <c r="C1093" s="39"/>
      <c r="D1093" s="20"/>
      <c r="E1093" s="54"/>
      <c r="F1093" s="54"/>
      <c r="G1093" s="23"/>
      <c r="H1093" s="39"/>
      <c r="I1093" s="39"/>
      <c r="J1093" s="44"/>
      <c r="K1093" s="44"/>
      <c r="L1093" s="63"/>
      <c r="M1093" s="64"/>
      <c r="N1093" s="2"/>
    </row>
    <row r="1094" spans="1:14" ht="14.4">
      <c r="A1094" s="42"/>
      <c r="B1094" s="61"/>
      <c r="C1094" s="39"/>
      <c r="D1094" s="20"/>
      <c r="E1094" s="54"/>
      <c r="F1094" s="54"/>
      <c r="G1094" s="23"/>
      <c r="H1094" s="39"/>
      <c r="I1094" s="39"/>
      <c r="J1094" s="44"/>
      <c r="K1094" s="44"/>
      <c r="L1094" s="63"/>
      <c r="M1094" s="64"/>
      <c r="N1094" s="2"/>
    </row>
    <row r="1095" spans="1:14" ht="14.4">
      <c r="A1095" s="42"/>
      <c r="B1095" s="61"/>
      <c r="C1095" s="39"/>
      <c r="D1095" s="20"/>
      <c r="E1095" s="54"/>
      <c r="F1095" s="54"/>
      <c r="G1095" s="23"/>
      <c r="H1095" s="39"/>
      <c r="I1095" s="39"/>
      <c r="J1095" s="44"/>
      <c r="K1095" s="44"/>
      <c r="L1095" s="63"/>
      <c r="M1095" s="64"/>
      <c r="N1095" s="2"/>
    </row>
    <row r="1096" spans="1:14" ht="14.4">
      <c r="A1096" s="42"/>
      <c r="B1096" s="61"/>
      <c r="C1096" s="39"/>
      <c r="D1096" s="20"/>
      <c r="E1096" s="54"/>
      <c r="F1096" s="54"/>
      <c r="G1096" s="23"/>
      <c r="H1096" s="39"/>
      <c r="I1096" s="39"/>
      <c r="J1096" s="44"/>
      <c r="K1096" s="44"/>
      <c r="L1096" s="63"/>
      <c r="M1096" s="64"/>
      <c r="N1096" s="2"/>
    </row>
    <row r="1097" spans="1:14" ht="14.4">
      <c r="A1097" s="42"/>
      <c r="B1097" s="61"/>
      <c r="C1097" s="39"/>
      <c r="D1097" s="20"/>
      <c r="E1097" s="54"/>
      <c r="F1097" s="54"/>
      <c r="G1097" s="23"/>
      <c r="H1097" s="39"/>
      <c r="I1097" s="39"/>
      <c r="J1097" s="44"/>
      <c r="K1097" s="44"/>
      <c r="L1097" s="63"/>
      <c r="M1097" s="64"/>
      <c r="N1097" s="2"/>
    </row>
    <row r="1098" spans="1:14" ht="14.4">
      <c r="A1098" s="42"/>
      <c r="B1098" s="61"/>
      <c r="C1098" s="39"/>
      <c r="D1098" s="20"/>
      <c r="E1098" s="54"/>
      <c r="F1098" s="54"/>
      <c r="G1098" s="23"/>
      <c r="H1098" s="39"/>
      <c r="I1098" s="39"/>
      <c r="J1098" s="44"/>
      <c r="K1098" s="44"/>
      <c r="L1098" s="63"/>
      <c r="M1098" s="64"/>
      <c r="N1098" s="2"/>
    </row>
    <row r="1099" spans="1:14" ht="14.4">
      <c r="A1099" s="42"/>
      <c r="B1099" s="61"/>
      <c r="C1099" s="39"/>
      <c r="D1099" s="20"/>
      <c r="E1099" s="54"/>
      <c r="F1099" s="54"/>
      <c r="G1099" s="23"/>
      <c r="H1099" s="39"/>
      <c r="I1099" s="39"/>
      <c r="J1099" s="44"/>
      <c r="K1099" s="44"/>
      <c r="L1099" s="63"/>
      <c r="M1099" s="64"/>
      <c r="N1099" s="2"/>
    </row>
    <row r="1100" spans="1:14" ht="14.4">
      <c r="A1100" s="42"/>
      <c r="B1100" s="61"/>
      <c r="C1100" s="39"/>
      <c r="D1100" s="20"/>
      <c r="E1100" s="54"/>
      <c r="F1100" s="54"/>
      <c r="G1100" s="23"/>
      <c r="H1100" s="39"/>
      <c r="I1100" s="39"/>
      <c r="J1100" s="44"/>
      <c r="K1100" s="44"/>
      <c r="L1100" s="63"/>
      <c r="M1100" s="64"/>
      <c r="N1100" s="2"/>
    </row>
    <row r="1101" spans="1:14" ht="14.4">
      <c r="A1101" s="42"/>
      <c r="B1101" s="61"/>
      <c r="C1101" s="39"/>
      <c r="D1101" s="20"/>
      <c r="E1101" s="54"/>
      <c r="F1101" s="54"/>
      <c r="G1101" s="23"/>
      <c r="H1101" s="39"/>
      <c r="I1101" s="39"/>
      <c r="J1101" s="44"/>
      <c r="K1101" s="44"/>
      <c r="L1101" s="63"/>
      <c r="M1101" s="64"/>
      <c r="N1101" s="2"/>
    </row>
    <row r="1102" spans="1:14" ht="14.4">
      <c r="A1102" s="42"/>
      <c r="B1102" s="61"/>
      <c r="C1102" s="39"/>
      <c r="D1102" s="20"/>
      <c r="E1102" s="54"/>
      <c r="F1102" s="54"/>
      <c r="G1102" s="23"/>
      <c r="H1102" s="39"/>
      <c r="I1102" s="39"/>
      <c r="J1102" s="44"/>
      <c r="K1102" s="44"/>
      <c r="L1102" s="63"/>
      <c r="M1102" s="64"/>
      <c r="N1102" s="2"/>
    </row>
    <row r="1103" spans="1:14" ht="14.4">
      <c r="A1103" s="42"/>
      <c r="B1103" s="61"/>
      <c r="C1103" s="39"/>
      <c r="D1103" s="20"/>
      <c r="E1103" s="54"/>
      <c r="F1103" s="54"/>
      <c r="G1103" s="23"/>
      <c r="H1103" s="39"/>
      <c r="I1103" s="39"/>
      <c r="J1103" s="44"/>
      <c r="K1103" s="44"/>
      <c r="L1103" s="63"/>
      <c r="M1103" s="64"/>
      <c r="N1103" s="2"/>
    </row>
  </sheetData>
  <customSheetViews>
    <customSheetView guid="{D112E6FF-23C0-4F92-B6B5-49837EB87CE5}" filter="1" showAutoFilter="1">
      <pageMargins left="0.7" right="0.7" top="0.75" bottom="0.75" header="0.3" footer="0.3"/>
      <autoFilter ref="A1:O803" xr:uid="{77033EDF-B0E2-4B59-9D89-26B6B60E18A2}"/>
    </customSheetView>
    <customSheetView guid="{D112E6FF-23C0-4F92-B6B5-49837EB87CE5}" filter="1" showAutoFilter="1">
      <pageMargins left="0.7" right="0.7" top="0.75" bottom="0.75" header="0.3" footer="0.3"/>
      <autoFilter ref="A1:M492" xr:uid="{C0626088-599F-480A-BD05-CB0FA9AD0176}"/>
    </customSheetView>
  </customSheetViews>
  <dataValidations count="12">
    <dataValidation type="list" allowBlank="1" showErrorMessage="1" sqref="D2:D23 D25:D1103" xr:uid="{00000000-0002-0000-0200-000000000000}">
      <formula1>"Limpiezalia,Bien Tiza,UETC,Medicamentos,Abogados,Psicologos,Mi Profe Clases,Limpieza de Dep YA,Dioses del Piso,Don Lavado,Funerarias,Deseo Clics,Soy IB,Limpia Colchon,ProfesordematematicasenLIMA,Profesordematematicas.net.pe,Mi Profe Virtual,Profe WPP,Bien"&amp;" Tiza,UETCprof,Biologia en Casa,Profesordefisica.org,Profesordequimica,Soy SAT"</formula1>
    </dataValidation>
    <dataValidation type="list" allowBlank="1" showErrorMessage="1" sqref="F5 F14 F24 F29 F45 F48:F50 F54 F57 F59 F63 F65:F68 F72 F75:F77 F79 F87 F92:F93 F95:F96 F99:F101 F108:F109 F113:F115 F117:F118 F120:F124 F126:F127 F130:F133 F135 F137:F138 F140 F142:F144 F147 F149:F153 F155:F157 F159:F163 F166 F168 F171:F172 F174:F175 F177:F184 F186 F188:F192 F194:F195 F197:F206 F208:F213 F219:F225 F227:F230 F232:F238 F240:F253 F256" xr:uid="{00000000-0002-0000-0200-000001000000}">
      <formula1>"Medicamento,Abogados,Clase modelo,Psicologo,Marketing,Colchón,Mueble,Pisos,Ventana,Cocina,Alfombra,Inmueble,Paquete de clases,Resolución de tarea"</formula1>
    </dataValidation>
    <dataValidation type="list" allowBlank="1" showErrorMessage="1" sqref="M259:M283 M286 M288:M309 M315:M318 M320" xr:uid="{00000000-0002-0000-0200-000002000000}">
      <formula1>"Cliente,Diana,Ever,Marco,Navid,Olga"</formula1>
    </dataValidation>
    <dataValidation type="list" allowBlank="1" showErrorMessage="1" sqref="F292 F297 F299:F300 F306 F317:F319 F321 F325:F326 F329 F340:F341 F343 F345:F348 F350 F352 F364 F371 F379 F381:F382 F384 F386 F389 F392:F393 F395 F397" xr:uid="{00000000-0002-0000-0200-000003000000}">
      <formula1>"Pisos,Colchón,Medicamento,Abogados,Alfombra,Baño,Clases,Psicologo,Marketing,Cocina"</formula1>
    </dataValidation>
    <dataValidation type="list" allowBlank="1" showErrorMessage="1" sqref="F2:F4 F7:F8 F10:F12 F15:F19 F21:F23 F25 F27:F28 F31:F32 F34:F44 F51:F53 F55:F56 F58 F60:F61 F64 F69:F71 F73 F78 F80 F85:F86 F89:F91 F94 F97:F98 F104:F107 F563 F565 F567 F570:F572 F574:F578 F580 F583:F584 F586:F587 F590 F597 F600:F601 F603 F606 F619:F620 F622:F623 F625:F626 F630 F633:F636 F644 F650 F652 F656:F659 F671 F673:F675 F679:F680 F684:F687 F703:F706 F708 F712 F715 F717:F718 F722 F724:F726 F728:F1103" xr:uid="{00000000-0002-0000-0200-000004000000}">
      <formula1>"Medicamento,Abogados,Clase modelo,Psicologo,Marketing,Colchón,Mueble,Pisos,Ventana,Cocina,Alfombra,Inmueble,Paquete de clases,Resolución de tarea,Baño,MOHO"</formula1>
    </dataValidation>
    <dataValidation type="list" allowBlank="1" showErrorMessage="1" sqref="D24" xr:uid="{00000000-0002-0000-0200-000006000000}">
      <formula1>"Limpezalia,Bien Tiza,Universidad en casa,3 Honor Clase,Importa Medic,Psicologo de Lima,Apu Abogados,Bandera Profesor de Matemáticas en Lima,Mi Profe,Limpieza de Departamnetos Ya!,Dioses del Piso,Don Lavado de Muebles,Funeraria"</formula1>
    </dataValidation>
    <dataValidation type="list" allowBlank="1" showErrorMessage="1" sqref="G268 G275 G307 G310 G327 G330 G339 G359 G377 G380 G410:G411 G435 G437:G438 G442 G446:G448 G450:G451 G454:G458 G461:G463 G468 G470 G472 G479 G482 G486:G489 G491 G496:G497 G500 G502:G503 G506 G508:G511 G513 G515:G517 G519:G522 G525:G526 G529:G530 G532 G535:G536 G539 G541 G544:G547 G549 G551 G556 G561 G564 G566 G568:G569 G573 G581:G582 G585 G588 G591:G597 G599:G1103" xr:uid="{00000000-0002-0000-0200-000007000000}">
      <formula1>"Empresa,Medicamento,Clases,Marketing,Abogados,Reparaciones,Limpieza,Psicologo"</formula1>
    </dataValidation>
    <dataValidation type="list" allowBlank="1" showErrorMessage="1" sqref="G2:G5 F6:G6 G7:G8 F9:G9 G10:G12 F13:G13 G14:G19 F20:G20 G21:G25 F26:G26 G27:G29 F30:G30 G31:G32 F33:G33 G34:G45 F46:G47 G48:G61 F62:G62 G63:G73 F74:G74 G75:G80 F81:G84 G85:G87 F88:G88 G89:G101 F102:G103 G104:G109 F110:G112 G113:G115 F116:G116 G117:G118 F119:G119 G120:G124 F125:G125 G126:G127 F128:G129 G130:G133 F134:G134 G135 F136:G136 G137:G138 F139:G139 G140 F141:G141 G142:G144 F145:G146 G147 F148:G148 G149:G153 F154:G154 G155:G157 F158:G158 G159:G163 F164:G165 G166 F167:G167 G168 F169:G170 G171:G172 F173:G173 G174:G175 F176:G176 G177:G184 F185:G185 G186 F187:G187 G188:G192 F193:G193 G194:G195 F196:G196 G197:G206 F207:G207 G208:G213 F214:G218 G219:G225 F226:G226 G227:G230 F231:G231 G232:G238 F239:G239 G240:G253 F254:G255 G256 F257:G267 F268 F269:G274 F275 F276:G291 G292 F293:G296 G297 F298:G298 G299:G300 F301:G305 G306 F307 F308:G309 F310 F311:G316 G317:G319 F320:G320 G321 F322:G324 G325:G326 F327 F328:G328 G329 F330 F331:G338 F339 G340:G341 F342:G342 G343 F344:G344 G345:G348 F349:G349 G350 F351:G351 G352 F353:G358 F359 F360:G363 G364 F365:G370 G371 F372:G376 F377 F378:G378 G379 F380 G381:G382 F383:G383 G384 F385:G385 G386 F387:G388 G389 F390:G391 G392:G393 F394:G394 G395 F396:G396 G397 F398:G409 F410:F411 F412:G434 F435 F436:G436 F437:F438 F439:G441 F442 F443:G445 F446:F448 F449:G449 F450:F451 F452:G453 F454:F458 F459:G460 F461:F463 F464:G467 F468 F469:G469 F470 F471:G471 F472 F473:G478 F479 F480:G481 F482 F483:G485 F486:F489 F490:G490 F491 F492:G495 F496:F497 F498:G499 F500 F501:G501 F502:F503 F504:G505 F506 F507:G507 F508:F511 F512:G512 F513 F514:G514 F515:F517 F518:G518 F519:F522 F523:G524 F525:F526 F527:G528 F529:F530 F531:G531 F532 F533:G534 F535:F536 F537:G538 F539 F540:G540 F541 F542:G543 F544:F547 F548:G548 F549 F550:G550 F551 F552:G555 F556 F557:G560 F561 F562:G562 G563 F564 G565 F566 G567 F568:F569 G570:G572 F573 G574:G578 F579:G579 G580 F581:F582 G583:G584 F585 G586:G587 F588 F589:G589 G590 F591:F596 F598:G598 F599 F602 F604:F605 F607:F618 F621 F624 F627:F629 F631:F632 F637:F643 F645:F649 F651 F653:F655 F660:F670 F672 F676:F678 F681:F683 F688:F702 F707 F709:F711 F713:F714 F716 F719:F721 F723 F727" xr:uid="{00000000-0002-0000-0200-000008000000}">
      <formula1>"Medicamento,Abogados,Clases,Psicologo,Marketing,Limpieza"</formula1>
    </dataValidation>
    <dataValidation type="list" allowBlank="1" showErrorMessage="1" sqref="E2:E594 E596:E1103" xr:uid="{00000000-0002-0000-0200-000009000000}">
      <formula1>"Facebook,Pagina Web,Llamada,-,Referencia"</formula1>
    </dataValidation>
    <dataValidation type="list" allowBlank="1" showErrorMessage="1" sqref="M284:M285 M287 M310:M314 M319 M321:M1103" xr:uid="{00000000-0002-0000-0200-00000A000000}">
      <formula1>"Navid,Ever,Cliente,Diana,Marco,Daniela Lisung,Ruth,Massoni,Isabella,Jose Palacios,Yahaira,Mauricio,Xiomara"</formula1>
    </dataValidation>
    <dataValidation type="list" allowBlank="1" showErrorMessage="1" sqref="H890 H895 H908:H909 H912:H913 H916:H917 H919 H922 H926 H929:H931 H933:H934 H936:H943 H945 H947:H949 H951 H953:H954 H960 H962:H1103" xr:uid="{00000000-0002-0000-0200-00000B000000}">
      <formula1>"Visita Tecnica Moho,Visita Tecnica Piso,Visita Tecnica Casa,Limpieza Moho,Limpieza Piso,Limpieza Vapor Mueble,Limpieza Vapor Alfombra,Limpieza Vapor Colchón,Limpieza Delicado Mueble,Limpieza Delicado Alfombra,Limpieza Delicado Colchón,Limpieza Agresiva Mu"&amp;"eble,Limpieza Agresiva Alfombra,Limpieza Agresiva Colchón,Limpieza Cocina,Limpieza Ventana,Limpieza Baño,Limpieza Doméstica,Limpieza Industrial Profunda,Limpieza General Profunda,Paquete 10h,Paquete 20h,Paquete 30h,Clase Modelo,Resolución Tareas,Ciclofosf"&amp;"amida,Lenalidomida,Asesoría Abogado,Asesoría Psicologa,Voriconazol,Lenalidomida,Logos,Página Web,Videos"</formula1>
    </dataValidation>
    <dataValidation type="list" allowBlank="1" showErrorMessage="1" sqref="I259:I1103" xr:uid="{00000000-0002-0000-0200-000005000000}">
      <formula1>"Barranco,Breña,Comas ,Jesus Maria,Jesús Maria,Jesús María,La Molina,Los Olivos,Magdalena,Miraflores,Miraflores ,Pueblo Libre,Punta Hermosa,Punta Hermosa ,San Borja,San Isidro,San Juan de Lurigancho,San Miguel,Santiago de Surco,San Martin de Porres,Surco,S"&amp;"urquillo,Villa el Salvador,Villa Maria del Triunfo,Chorrillos,Ate,punta negra ,San Juan de Miraflores,La victoria,Lince,El agustino,Salamanca,Independencia,Callao,Cercado de Lima,Huachipa,Lurin,Santa Anita"</formula1>
    </dataValidation>
  </dataValidations>
  <hyperlinks>
    <hyperlink ref="D803" r:id="rId1" xr:uid="{00000000-0004-0000-02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 summaryRight="0"/>
  </sheetPr>
  <dimension ref="A1:Z1001"/>
  <sheetViews>
    <sheetView topLeftCell="A193" workbookViewId="0">
      <selection activeCell="I20" sqref="I20"/>
    </sheetView>
  </sheetViews>
  <sheetFormatPr baseColWidth="10" defaultColWidth="12.6640625" defaultRowHeight="15.75" customHeight="1"/>
  <cols>
    <col min="1" max="1" width="3.88671875" customWidth="1"/>
    <col min="3" max="3" width="15.21875" customWidth="1"/>
    <col min="4" max="4" width="17" customWidth="1"/>
    <col min="5" max="5" width="42.109375" customWidth="1"/>
    <col min="6" max="6" width="19.88671875" customWidth="1"/>
    <col min="7" max="7" width="32.109375" customWidth="1"/>
    <col min="9" max="9" width="13.33203125" customWidth="1"/>
    <col min="10" max="10" width="10.109375" customWidth="1"/>
    <col min="11" max="11" width="15" customWidth="1"/>
    <col min="15" max="15" width="36.33203125" customWidth="1"/>
  </cols>
  <sheetData>
    <row r="1" spans="1:26">
      <c r="A1" s="2"/>
      <c r="B1" s="182" t="s">
        <v>15</v>
      </c>
      <c r="C1" s="183" t="s">
        <v>2658</v>
      </c>
      <c r="D1" s="183" t="s">
        <v>435</v>
      </c>
      <c r="E1" s="183" t="s">
        <v>436</v>
      </c>
      <c r="F1" s="184"/>
      <c r="G1" s="183" t="s">
        <v>438</v>
      </c>
      <c r="H1" s="183" t="s">
        <v>440</v>
      </c>
      <c r="I1" s="185" t="s">
        <v>2659</v>
      </c>
      <c r="J1" s="185" t="s">
        <v>442</v>
      </c>
      <c r="K1" s="186" t="s">
        <v>443</v>
      </c>
      <c r="L1" s="2"/>
      <c r="M1" s="2"/>
      <c r="N1" s="225"/>
      <c r="O1" s="226"/>
      <c r="P1" s="226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>
      <c r="A2" s="2">
        <v>24</v>
      </c>
      <c r="B2" s="187">
        <v>45598</v>
      </c>
      <c r="C2" s="188" t="s">
        <v>2660</v>
      </c>
      <c r="D2" s="188" t="s">
        <v>2661</v>
      </c>
      <c r="E2" s="188" t="s">
        <v>530</v>
      </c>
      <c r="F2" s="71"/>
      <c r="G2" s="189" t="s">
        <v>531</v>
      </c>
      <c r="H2" s="189">
        <v>100</v>
      </c>
      <c r="I2" s="189" t="s">
        <v>14</v>
      </c>
      <c r="J2" s="190">
        <v>100</v>
      </c>
      <c r="K2" s="190" t="s">
        <v>1918</v>
      </c>
      <c r="L2" s="2"/>
      <c r="M2" s="2"/>
      <c r="N2" s="222"/>
      <c r="O2" s="222"/>
      <c r="P2" s="222"/>
      <c r="Q2" s="2"/>
      <c r="R2" s="2"/>
      <c r="S2" s="2"/>
      <c r="T2" s="2"/>
      <c r="U2" s="2"/>
      <c r="V2" s="2"/>
      <c r="W2" s="2"/>
      <c r="X2" s="2"/>
      <c r="Y2" s="2"/>
      <c r="Z2" s="2" t="s">
        <v>450</v>
      </c>
    </row>
    <row r="3" spans="1:26">
      <c r="A3" s="2"/>
      <c r="B3" s="192">
        <v>45598</v>
      </c>
      <c r="C3" s="71" t="s">
        <v>2663</v>
      </c>
      <c r="D3" s="71" t="s">
        <v>2664</v>
      </c>
      <c r="E3" s="70" t="s">
        <v>588</v>
      </c>
      <c r="F3" s="71"/>
      <c r="G3" s="193" t="s">
        <v>531</v>
      </c>
      <c r="H3" s="193">
        <v>130</v>
      </c>
      <c r="I3" s="193" t="s">
        <v>14</v>
      </c>
      <c r="J3" s="194">
        <v>130</v>
      </c>
      <c r="K3" s="194" t="s">
        <v>1918</v>
      </c>
      <c r="L3" s="59"/>
      <c r="M3" s="2"/>
      <c r="N3" s="223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>
      <c r="A4" s="2"/>
      <c r="B4" s="195">
        <v>45598</v>
      </c>
      <c r="C4" s="193" t="s">
        <v>2666</v>
      </c>
      <c r="D4" s="71" t="s">
        <v>2667</v>
      </c>
      <c r="E4" s="71" t="s">
        <v>502</v>
      </c>
      <c r="F4" s="71"/>
      <c r="G4" s="193" t="s">
        <v>503</v>
      </c>
      <c r="H4" s="193">
        <v>75</v>
      </c>
      <c r="I4" s="193" t="s">
        <v>14</v>
      </c>
      <c r="J4" s="194">
        <v>75</v>
      </c>
      <c r="K4" s="194" t="s">
        <v>449</v>
      </c>
      <c r="L4" s="59"/>
      <c r="M4" s="2"/>
      <c r="N4" s="223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>
      <c r="A5" s="2"/>
      <c r="B5" s="195">
        <v>45598</v>
      </c>
      <c r="C5" s="193" t="s">
        <v>2669</v>
      </c>
      <c r="D5" s="71" t="s">
        <v>2670</v>
      </c>
      <c r="E5" s="71" t="s">
        <v>588</v>
      </c>
      <c r="F5" s="71"/>
      <c r="G5" s="193" t="s">
        <v>531</v>
      </c>
      <c r="H5" s="193">
        <v>150</v>
      </c>
      <c r="I5" s="193" t="s">
        <v>14</v>
      </c>
      <c r="J5" s="194">
        <v>150</v>
      </c>
      <c r="K5" s="194" t="s">
        <v>2657</v>
      </c>
      <c r="L5" s="59"/>
      <c r="M5" s="2"/>
      <c r="N5" s="223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>
      <c r="A6" s="2"/>
      <c r="B6" s="9">
        <v>45600</v>
      </c>
      <c r="C6" s="10" t="s">
        <v>1589</v>
      </c>
      <c r="D6" s="10" t="s">
        <v>2672</v>
      </c>
      <c r="E6" s="125" t="s">
        <v>502</v>
      </c>
      <c r="F6" s="54"/>
      <c r="G6" s="10" t="s">
        <v>503</v>
      </c>
      <c r="H6" s="10">
        <v>65</v>
      </c>
      <c r="I6" s="10" t="s">
        <v>14</v>
      </c>
      <c r="J6" s="25">
        <v>65</v>
      </c>
      <c r="K6" s="25" t="s">
        <v>2657</v>
      </c>
      <c r="L6" s="59"/>
      <c r="M6" s="2"/>
      <c r="N6" s="223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>
      <c r="A7" s="2"/>
      <c r="B7" s="9">
        <v>45600</v>
      </c>
      <c r="C7" s="10" t="s">
        <v>2674</v>
      </c>
      <c r="D7" s="10">
        <v>912729415</v>
      </c>
      <c r="E7" s="125" t="s">
        <v>446</v>
      </c>
      <c r="F7" s="54"/>
      <c r="G7" s="10" t="s">
        <v>503</v>
      </c>
      <c r="H7" s="10">
        <v>80</v>
      </c>
      <c r="I7" s="10" t="s">
        <v>14</v>
      </c>
      <c r="J7" s="25">
        <v>80</v>
      </c>
      <c r="K7" s="25" t="s">
        <v>2657</v>
      </c>
      <c r="L7" s="59"/>
      <c r="M7" s="2"/>
      <c r="N7" s="223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>
      <c r="A8" s="2"/>
      <c r="B8" s="9">
        <v>45600</v>
      </c>
      <c r="C8" s="10" t="s">
        <v>2676</v>
      </c>
      <c r="D8" s="10" t="s">
        <v>2677</v>
      </c>
      <c r="E8" s="125" t="s">
        <v>453</v>
      </c>
      <c r="F8" s="54"/>
      <c r="G8" s="10" t="s">
        <v>2678</v>
      </c>
      <c r="H8" s="10">
        <v>50</v>
      </c>
      <c r="I8" s="10">
        <v>210</v>
      </c>
      <c r="J8" s="25">
        <v>260</v>
      </c>
      <c r="K8" s="25" t="s">
        <v>2657</v>
      </c>
      <c r="L8" s="74"/>
      <c r="M8" s="2"/>
      <c r="N8" s="223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>
      <c r="A9" s="2"/>
      <c r="B9" s="196">
        <v>45600</v>
      </c>
      <c r="C9" s="126" t="s">
        <v>1884</v>
      </c>
      <c r="D9" s="126" t="s">
        <v>2680</v>
      </c>
      <c r="E9" s="125" t="s">
        <v>502</v>
      </c>
      <c r="F9" s="54"/>
      <c r="G9" s="126" t="s">
        <v>1594</v>
      </c>
      <c r="H9" s="10">
        <v>75</v>
      </c>
      <c r="I9" s="10" t="s">
        <v>14</v>
      </c>
      <c r="J9" s="25">
        <v>75</v>
      </c>
      <c r="K9" s="25" t="s">
        <v>1918</v>
      </c>
      <c r="L9" s="59"/>
      <c r="M9" s="2"/>
      <c r="N9" s="223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>
      <c r="A10" s="2"/>
      <c r="B10" s="196">
        <v>45600</v>
      </c>
      <c r="C10" s="126" t="s">
        <v>2682</v>
      </c>
      <c r="D10" s="126" t="s">
        <v>2683</v>
      </c>
      <c r="E10" s="125" t="s">
        <v>483</v>
      </c>
      <c r="F10" s="54"/>
      <c r="G10" s="126" t="s">
        <v>531</v>
      </c>
      <c r="H10" s="10">
        <v>130</v>
      </c>
      <c r="I10" s="10" t="s">
        <v>14</v>
      </c>
      <c r="J10" s="25">
        <v>130</v>
      </c>
      <c r="K10" s="25" t="s">
        <v>1918</v>
      </c>
      <c r="L10" s="59"/>
      <c r="M10" s="2"/>
      <c r="N10" s="223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>
      <c r="A11" s="2"/>
      <c r="B11" s="9">
        <v>45600</v>
      </c>
      <c r="C11" s="10" t="s">
        <v>2685</v>
      </c>
      <c r="D11" s="10">
        <v>945920682</v>
      </c>
      <c r="E11" s="125" t="s">
        <v>453</v>
      </c>
      <c r="F11" s="54"/>
      <c r="G11" s="10" t="s">
        <v>2686</v>
      </c>
      <c r="H11" s="10">
        <v>139.5</v>
      </c>
      <c r="I11" s="10">
        <v>139.5</v>
      </c>
      <c r="J11" s="25">
        <v>279</v>
      </c>
      <c r="K11" s="25" t="s">
        <v>449</v>
      </c>
      <c r="L11" s="59"/>
      <c r="M11" s="2"/>
      <c r="N11" s="223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>
      <c r="A12" s="2"/>
      <c r="B12" s="9">
        <v>45600</v>
      </c>
      <c r="C12" s="10" t="s">
        <v>602</v>
      </c>
      <c r="D12" s="10">
        <v>941959912</v>
      </c>
      <c r="E12" s="125" t="s">
        <v>453</v>
      </c>
      <c r="F12" s="54"/>
      <c r="G12" s="10" t="s">
        <v>454</v>
      </c>
      <c r="H12" s="10">
        <v>75</v>
      </c>
      <c r="I12" s="10">
        <v>75</v>
      </c>
      <c r="J12" s="25">
        <v>150</v>
      </c>
      <c r="K12" s="25" t="s">
        <v>2657</v>
      </c>
      <c r="L12" s="59"/>
      <c r="M12" s="2"/>
      <c r="N12" s="223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>
      <c r="A13" s="2"/>
      <c r="B13" s="9">
        <v>45600</v>
      </c>
      <c r="C13" s="10" t="s">
        <v>2689</v>
      </c>
      <c r="D13" s="10" t="s">
        <v>2690</v>
      </c>
      <c r="E13" s="125" t="s">
        <v>467</v>
      </c>
      <c r="F13" s="54"/>
      <c r="G13" s="10" t="s">
        <v>2691</v>
      </c>
      <c r="H13" s="10">
        <v>390</v>
      </c>
      <c r="I13" s="10" t="s">
        <v>14</v>
      </c>
      <c r="J13" s="25">
        <v>390</v>
      </c>
      <c r="K13" s="25" t="s">
        <v>449</v>
      </c>
      <c r="L13" s="2"/>
      <c r="M13" s="2"/>
      <c r="N13" s="223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>
      <c r="A14" s="2"/>
      <c r="B14" s="197">
        <v>45601</v>
      </c>
      <c r="C14" s="193" t="s">
        <v>2693</v>
      </c>
      <c r="D14" s="71" t="s">
        <v>2694</v>
      </c>
      <c r="E14" s="70" t="s">
        <v>498</v>
      </c>
      <c r="F14" s="71"/>
      <c r="G14" s="193" t="s">
        <v>2695</v>
      </c>
      <c r="H14" s="193">
        <v>100</v>
      </c>
      <c r="I14" s="198">
        <v>169</v>
      </c>
      <c r="J14" s="199">
        <v>269</v>
      </c>
      <c r="K14" s="194" t="s">
        <v>1918</v>
      </c>
      <c r="L14" s="2"/>
      <c r="M14" s="2"/>
      <c r="N14" s="223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>
      <c r="A15" s="2"/>
      <c r="B15" s="197">
        <v>45601</v>
      </c>
      <c r="C15" s="193" t="s">
        <v>2697</v>
      </c>
      <c r="D15" s="193" t="s">
        <v>2698</v>
      </c>
      <c r="E15" s="70" t="s">
        <v>483</v>
      </c>
      <c r="F15" s="71"/>
      <c r="G15" s="193" t="s">
        <v>464</v>
      </c>
      <c r="H15" s="193">
        <v>170</v>
      </c>
      <c r="I15" s="193" t="s">
        <v>14</v>
      </c>
      <c r="J15" s="194">
        <v>170</v>
      </c>
      <c r="K15" s="194" t="s">
        <v>2657</v>
      </c>
      <c r="L15" s="2"/>
      <c r="M15" s="2"/>
      <c r="N15" s="223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>
      <c r="A16" s="2"/>
      <c r="B16" s="197">
        <v>45601</v>
      </c>
      <c r="C16" s="193" t="s">
        <v>2699</v>
      </c>
      <c r="D16" s="193" t="s">
        <v>2700</v>
      </c>
      <c r="E16" s="70" t="s">
        <v>498</v>
      </c>
      <c r="F16" s="71"/>
      <c r="G16" s="193" t="s">
        <v>2686</v>
      </c>
      <c r="H16" s="193"/>
      <c r="I16" s="193">
        <v>249</v>
      </c>
      <c r="J16" s="194"/>
      <c r="K16" s="194" t="s">
        <v>480</v>
      </c>
      <c r="L16" s="2"/>
      <c r="M16" s="2"/>
      <c r="N16" s="223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>
      <c r="A17" s="2"/>
      <c r="B17" s="197">
        <v>45601</v>
      </c>
      <c r="C17" s="193" t="s">
        <v>2701</v>
      </c>
      <c r="D17" s="71" t="s">
        <v>2702</v>
      </c>
      <c r="E17" s="70" t="s">
        <v>453</v>
      </c>
      <c r="F17" s="71"/>
      <c r="G17" s="193" t="s">
        <v>1594</v>
      </c>
      <c r="H17" s="193">
        <v>90</v>
      </c>
      <c r="I17" s="193" t="s">
        <v>14</v>
      </c>
      <c r="J17" s="194">
        <v>90</v>
      </c>
      <c r="K17" s="194" t="s">
        <v>1918</v>
      </c>
      <c r="L17" s="2"/>
      <c r="M17" s="2"/>
      <c r="N17" s="223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>
      <c r="A18" s="2"/>
      <c r="B18" s="197">
        <v>45601</v>
      </c>
      <c r="C18" s="193" t="s">
        <v>2704</v>
      </c>
      <c r="D18" s="193" t="s">
        <v>2705</v>
      </c>
      <c r="E18" s="70" t="s">
        <v>588</v>
      </c>
      <c r="F18" s="71"/>
      <c r="G18" s="193" t="s">
        <v>484</v>
      </c>
      <c r="H18" s="193">
        <v>85</v>
      </c>
      <c r="I18" s="193" t="s">
        <v>14</v>
      </c>
      <c r="J18" s="194">
        <v>85</v>
      </c>
      <c r="K18" s="194" t="s">
        <v>1918</v>
      </c>
      <c r="L18" s="2"/>
      <c r="M18" s="2"/>
      <c r="N18" s="223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>
      <c r="A19" s="2"/>
      <c r="B19" s="197">
        <v>45601</v>
      </c>
      <c r="C19" s="193" t="s">
        <v>2707</v>
      </c>
      <c r="D19" s="71" t="s">
        <v>2708</v>
      </c>
      <c r="E19" s="70" t="s">
        <v>498</v>
      </c>
      <c r="F19" s="71"/>
      <c r="G19" s="193" t="s">
        <v>2709</v>
      </c>
      <c r="H19" s="193">
        <v>200</v>
      </c>
      <c r="I19" s="198">
        <v>199</v>
      </c>
      <c r="J19" s="194">
        <v>399</v>
      </c>
      <c r="K19" s="194" t="s">
        <v>480</v>
      </c>
      <c r="L19" s="2"/>
      <c r="M19" s="2"/>
      <c r="N19" s="224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>
      <c r="A20" s="2"/>
      <c r="B20" s="30">
        <v>45602</v>
      </c>
      <c r="C20" s="10" t="s">
        <v>2711</v>
      </c>
      <c r="D20" s="10" t="s">
        <v>2712</v>
      </c>
      <c r="E20" s="125" t="s">
        <v>502</v>
      </c>
      <c r="F20" s="54"/>
      <c r="G20" s="10" t="s">
        <v>503</v>
      </c>
      <c r="H20" s="10">
        <v>65</v>
      </c>
      <c r="I20" s="10" t="s">
        <v>14</v>
      </c>
      <c r="J20" s="25">
        <v>65</v>
      </c>
      <c r="K20" s="25" t="s">
        <v>1918</v>
      </c>
      <c r="L20" s="2"/>
      <c r="M20" s="2"/>
      <c r="N20" s="224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>
      <c r="A21" s="2"/>
      <c r="B21" s="30">
        <v>45602</v>
      </c>
      <c r="C21" s="10" t="s">
        <v>2080</v>
      </c>
      <c r="D21" s="10" t="s">
        <v>2714</v>
      </c>
      <c r="E21" s="125" t="s">
        <v>530</v>
      </c>
      <c r="F21" s="54"/>
      <c r="G21" s="10" t="s">
        <v>531</v>
      </c>
      <c r="H21" s="10">
        <v>180</v>
      </c>
      <c r="I21" s="10" t="s">
        <v>14</v>
      </c>
      <c r="J21" s="25">
        <v>180</v>
      </c>
      <c r="K21" s="25" t="s">
        <v>1918</v>
      </c>
      <c r="L21" s="2"/>
      <c r="M21" s="2"/>
      <c r="N21" s="224"/>
      <c r="O21" s="2"/>
      <c r="P21" s="2"/>
      <c r="Q21" s="2"/>
      <c r="R21" s="2"/>
      <c r="S21" s="2"/>
      <c r="T21" s="2">
        <v>24</v>
      </c>
      <c r="U21" s="2"/>
      <c r="V21" s="2"/>
      <c r="W21" s="2"/>
      <c r="X21" s="2"/>
      <c r="Y21" s="2"/>
      <c r="Z21" s="2"/>
    </row>
    <row r="22" spans="1:26">
      <c r="A22" s="2"/>
      <c r="B22" s="200">
        <v>45602</v>
      </c>
      <c r="C22" s="10" t="s">
        <v>2716</v>
      </c>
      <c r="D22" s="10">
        <v>945612807</v>
      </c>
      <c r="E22" s="125" t="s">
        <v>502</v>
      </c>
      <c r="F22" s="54"/>
      <c r="G22" s="10" t="s">
        <v>623</v>
      </c>
      <c r="H22" s="10">
        <v>80</v>
      </c>
      <c r="I22" s="10" t="s">
        <v>14</v>
      </c>
      <c r="J22" s="25">
        <v>80</v>
      </c>
      <c r="K22" s="25" t="s">
        <v>449</v>
      </c>
      <c r="L22" s="2"/>
      <c r="M22" s="2"/>
      <c r="N22" s="7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>
      <c r="A23" s="2"/>
      <c r="B23" s="30">
        <v>45602</v>
      </c>
      <c r="C23" s="10" t="s">
        <v>2320</v>
      </c>
      <c r="D23" s="10" t="s">
        <v>2718</v>
      </c>
      <c r="E23" s="125" t="s">
        <v>502</v>
      </c>
      <c r="F23" s="54"/>
      <c r="G23" s="10" t="s">
        <v>623</v>
      </c>
      <c r="H23" s="10">
        <v>50</v>
      </c>
      <c r="I23" s="10" t="s">
        <v>14</v>
      </c>
      <c r="J23" s="25">
        <v>50</v>
      </c>
      <c r="K23" s="25" t="s">
        <v>1918</v>
      </c>
      <c r="L23" s="2"/>
      <c r="M23" s="2"/>
      <c r="N23" s="7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>
      <c r="A24" s="2"/>
      <c r="B24" s="30">
        <v>45602</v>
      </c>
      <c r="C24" s="10" t="s">
        <v>2720</v>
      </c>
      <c r="D24" s="126" t="s">
        <v>2721</v>
      </c>
      <c r="E24" s="125" t="s">
        <v>498</v>
      </c>
      <c r="F24" s="54"/>
      <c r="G24" s="10" t="s">
        <v>2722</v>
      </c>
      <c r="H24" s="10">
        <v>100</v>
      </c>
      <c r="I24" s="10">
        <v>99</v>
      </c>
      <c r="J24" s="25">
        <v>199</v>
      </c>
      <c r="K24" s="25" t="s">
        <v>1918</v>
      </c>
      <c r="L24" s="2"/>
      <c r="M24" s="2"/>
      <c r="N24" s="7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>
      <c r="A25" s="2"/>
      <c r="B25" s="197">
        <v>45603</v>
      </c>
      <c r="C25" s="193" t="s">
        <v>2724</v>
      </c>
      <c r="D25" s="193" t="s">
        <v>2725</v>
      </c>
      <c r="E25" s="70" t="s">
        <v>588</v>
      </c>
      <c r="F25" s="71"/>
      <c r="G25" s="193" t="s">
        <v>464</v>
      </c>
      <c r="H25" s="193">
        <v>180</v>
      </c>
      <c r="I25" s="193" t="s">
        <v>14</v>
      </c>
      <c r="J25" s="193">
        <v>180</v>
      </c>
      <c r="K25" s="193" t="s">
        <v>480</v>
      </c>
      <c r="L25" s="2"/>
      <c r="M25" s="2"/>
      <c r="N25" s="7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>
      <c r="A26" s="2"/>
      <c r="B26" s="197">
        <v>45603</v>
      </c>
      <c r="C26" s="193" t="s">
        <v>2727</v>
      </c>
      <c r="D26" s="193" t="s">
        <v>2728</v>
      </c>
      <c r="E26" s="70" t="s">
        <v>522</v>
      </c>
      <c r="F26" s="71"/>
      <c r="G26" s="193" t="s">
        <v>2729</v>
      </c>
      <c r="H26" s="193">
        <v>200</v>
      </c>
      <c r="I26" s="193">
        <v>299</v>
      </c>
      <c r="J26" s="193">
        <v>499</v>
      </c>
      <c r="K26" s="193" t="s">
        <v>2657</v>
      </c>
      <c r="L26" s="2"/>
      <c r="M26" s="2"/>
      <c r="N26" s="7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>
      <c r="A27" s="2"/>
      <c r="B27" s="197">
        <v>45603</v>
      </c>
      <c r="C27" s="193" t="s">
        <v>2730</v>
      </c>
      <c r="D27" s="193" t="s">
        <v>2731</v>
      </c>
      <c r="E27" s="70" t="s">
        <v>453</v>
      </c>
      <c r="F27" s="71"/>
      <c r="G27" s="193" t="s">
        <v>2732</v>
      </c>
      <c r="H27" s="193">
        <v>105</v>
      </c>
      <c r="I27" s="193">
        <v>104</v>
      </c>
      <c r="J27" s="193">
        <v>209</v>
      </c>
      <c r="K27" s="193" t="s">
        <v>2657</v>
      </c>
      <c r="L27" s="2"/>
      <c r="M27" s="2"/>
      <c r="N27" s="7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>
      <c r="A28" s="2"/>
      <c r="B28" s="197">
        <v>45603</v>
      </c>
      <c r="C28" s="193" t="s">
        <v>2080</v>
      </c>
      <c r="D28" s="193" t="s">
        <v>2714</v>
      </c>
      <c r="E28" s="70" t="s">
        <v>530</v>
      </c>
      <c r="F28" s="71"/>
      <c r="G28" s="193" t="s">
        <v>531</v>
      </c>
      <c r="H28" s="193">
        <v>180</v>
      </c>
      <c r="I28" s="193" t="s">
        <v>14</v>
      </c>
      <c r="J28" s="194">
        <v>180</v>
      </c>
      <c r="K28" s="193" t="s">
        <v>480</v>
      </c>
      <c r="L28" s="2"/>
      <c r="M28" s="2"/>
      <c r="N28" s="12"/>
      <c r="O28" s="12"/>
      <c r="P28" s="221">
        <f>SUM(P17:P27)</f>
        <v>0</v>
      </c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>
      <c r="A29" s="2"/>
      <c r="B29" s="197">
        <v>45603</v>
      </c>
      <c r="C29" s="193" t="s">
        <v>2734</v>
      </c>
      <c r="D29" s="193">
        <v>994691914</v>
      </c>
      <c r="E29" s="70" t="s">
        <v>530</v>
      </c>
      <c r="F29" s="71"/>
      <c r="G29" s="193" t="s">
        <v>2735</v>
      </c>
      <c r="H29" s="193">
        <v>1407</v>
      </c>
      <c r="I29" s="193" t="s">
        <v>14</v>
      </c>
      <c r="J29" s="193">
        <v>1407</v>
      </c>
      <c r="K29" s="193" t="s">
        <v>480</v>
      </c>
      <c r="L29" s="2"/>
      <c r="M29" s="2"/>
      <c r="N29" s="10"/>
      <c r="O29" s="10"/>
      <c r="P29" s="10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>
      <c r="A30" s="2"/>
      <c r="B30" s="197">
        <v>45603</v>
      </c>
      <c r="C30" s="193" t="s">
        <v>2736</v>
      </c>
      <c r="D30" s="193">
        <v>980495098</v>
      </c>
      <c r="E30" s="70" t="s">
        <v>522</v>
      </c>
      <c r="F30" s="71"/>
      <c r="G30" s="193" t="s">
        <v>2618</v>
      </c>
      <c r="H30" s="193">
        <v>124.5</v>
      </c>
      <c r="I30" s="193">
        <v>124.5</v>
      </c>
      <c r="J30" s="193">
        <v>249</v>
      </c>
      <c r="K30" s="193" t="s">
        <v>2657</v>
      </c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>
      <c r="A31" s="2"/>
      <c r="B31" s="197">
        <v>45603</v>
      </c>
      <c r="C31" s="193" t="s">
        <v>2737</v>
      </c>
      <c r="D31" s="193">
        <v>980418076</v>
      </c>
      <c r="E31" s="70" t="s">
        <v>453</v>
      </c>
      <c r="F31" s="71"/>
      <c r="G31" s="193" t="s">
        <v>2738</v>
      </c>
      <c r="H31" s="193">
        <v>570</v>
      </c>
      <c r="I31" s="193"/>
      <c r="J31" s="193">
        <v>1140</v>
      </c>
      <c r="K31" s="193" t="s">
        <v>2657</v>
      </c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>
      <c r="A32" s="2"/>
      <c r="B32" s="30">
        <v>45604</v>
      </c>
      <c r="C32" s="10" t="s">
        <v>2739</v>
      </c>
      <c r="D32" s="10" t="s">
        <v>2740</v>
      </c>
      <c r="E32" s="125" t="s">
        <v>453</v>
      </c>
      <c r="F32" s="54"/>
      <c r="G32" s="10" t="s">
        <v>2741</v>
      </c>
      <c r="H32" s="10">
        <v>75</v>
      </c>
      <c r="I32" s="10">
        <v>75</v>
      </c>
      <c r="J32" s="10">
        <v>150</v>
      </c>
      <c r="K32" s="10" t="s">
        <v>480</v>
      </c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>
      <c r="A33" s="2"/>
      <c r="B33" s="30">
        <v>45604</v>
      </c>
      <c r="C33" s="126" t="s">
        <v>2080</v>
      </c>
      <c r="D33" s="126" t="s">
        <v>2714</v>
      </c>
      <c r="E33" s="125" t="s">
        <v>530</v>
      </c>
      <c r="F33" s="54"/>
      <c r="G33" s="10" t="s">
        <v>2742</v>
      </c>
      <c r="H33" s="10">
        <v>1107</v>
      </c>
      <c r="I33" s="10" t="s">
        <v>14</v>
      </c>
      <c r="J33" s="10">
        <v>1107</v>
      </c>
      <c r="K33" s="10" t="s">
        <v>1918</v>
      </c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>
      <c r="A34" s="2"/>
      <c r="B34" s="30">
        <v>45604</v>
      </c>
      <c r="C34" s="10" t="s">
        <v>2743</v>
      </c>
      <c r="D34" s="126" t="s">
        <v>2744</v>
      </c>
      <c r="E34" s="125" t="s">
        <v>446</v>
      </c>
      <c r="F34" s="54"/>
      <c r="G34" s="10" t="s">
        <v>2745</v>
      </c>
      <c r="H34" s="10">
        <v>1292.0999999999999</v>
      </c>
      <c r="I34" s="10">
        <v>892.1</v>
      </c>
      <c r="J34" s="10">
        <v>2584.1999999999998</v>
      </c>
      <c r="K34" s="10" t="s">
        <v>1918</v>
      </c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>
      <c r="A35" s="2"/>
      <c r="B35" s="30">
        <v>45604</v>
      </c>
      <c r="C35" s="10" t="s">
        <v>2746</v>
      </c>
      <c r="D35" s="10" t="s">
        <v>2747</v>
      </c>
      <c r="E35" s="125" t="s">
        <v>588</v>
      </c>
      <c r="F35" s="54"/>
      <c r="G35" s="10" t="s">
        <v>464</v>
      </c>
      <c r="H35" s="10">
        <v>100</v>
      </c>
      <c r="I35" s="10" t="s">
        <v>14</v>
      </c>
      <c r="J35" s="10">
        <v>100</v>
      </c>
      <c r="K35" s="10" t="s">
        <v>2657</v>
      </c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>
      <c r="A36" s="2"/>
      <c r="B36" s="197">
        <v>45605</v>
      </c>
      <c r="C36" s="193" t="s">
        <v>2748</v>
      </c>
      <c r="D36" s="193" t="s">
        <v>2749</v>
      </c>
      <c r="E36" s="70" t="s">
        <v>453</v>
      </c>
      <c r="F36" s="71"/>
      <c r="G36" s="193" t="s">
        <v>2750</v>
      </c>
      <c r="H36" s="193">
        <v>99.5</v>
      </c>
      <c r="I36" s="193">
        <v>99.5</v>
      </c>
      <c r="J36" s="193">
        <v>199</v>
      </c>
      <c r="K36" s="193" t="s">
        <v>1918</v>
      </c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>
      <c r="A37" s="2"/>
      <c r="B37" s="197">
        <v>45605</v>
      </c>
      <c r="C37" s="193" t="s">
        <v>2751</v>
      </c>
      <c r="D37" s="193" t="s">
        <v>2752</v>
      </c>
      <c r="E37" s="70" t="s">
        <v>502</v>
      </c>
      <c r="F37" s="71"/>
      <c r="G37" s="193" t="s">
        <v>503</v>
      </c>
      <c r="H37" s="193">
        <v>50</v>
      </c>
      <c r="I37" s="193" t="s">
        <v>14</v>
      </c>
      <c r="J37" s="193">
        <v>50</v>
      </c>
      <c r="K37" s="193" t="s">
        <v>2657</v>
      </c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>
      <c r="A38" s="2"/>
      <c r="B38" s="197">
        <v>45605</v>
      </c>
      <c r="C38" s="193" t="s">
        <v>2753</v>
      </c>
      <c r="D38" s="193" t="s">
        <v>2754</v>
      </c>
      <c r="E38" s="70" t="s">
        <v>494</v>
      </c>
      <c r="F38" s="71"/>
      <c r="G38" s="193" t="s">
        <v>25</v>
      </c>
      <c r="H38" s="193">
        <v>390</v>
      </c>
      <c r="I38" s="193" t="s">
        <v>14</v>
      </c>
      <c r="J38" s="193">
        <v>390</v>
      </c>
      <c r="K38" s="193" t="s">
        <v>1918</v>
      </c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>
      <c r="A39" s="2"/>
      <c r="B39" s="197">
        <v>45605</v>
      </c>
      <c r="C39" s="193" t="s">
        <v>2755</v>
      </c>
      <c r="D39" s="193" t="s">
        <v>2756</v>
      </c>
      <c r="E39" s="70" t="s">
        <v>446</v>
      </c>
      <c r="F39" s="71"/>
      <c r="G39" s="193" t="s">
        <v>2757</v>
      </c>
      <c r="H39" s="193">
        <v>400</v>
      </c>
      <c r="I39" s="193">
        <v>399</v>
      </c>
      <c r="J39" s="193">
        <v>799</v>
      </c>
      <c r="K39" s="193" t="s">
        <v>1918</v>
      </c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>
      <c r="A40" s="2"/>
      <c r="B40" s="197">
        <v>45605</v>
      </c>
      <c r="C40" s="193" t="s">
        <v>2758</v>
      </c>
      <c r="D40" s="71" t="s">
        <v>2759</v>
      </c>
      <c r="E40" s="70" t="s">
        <v>498</v>
      </c>
      <c r="F40" s="71"/>
      <c r="G40" s="193" t="s">
        <v>2760</v>
      </c>
      <c r="H40" s="71">
        <v>135</v>
      </c>
      <c r="I40" s="193">
        <v>134</v>
      </c>
      <c r="J40" s="193">
        <v>269</v>
      </c>
      <c r="K40" s="193" t="s">
        <v>1918</v>
      </c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>
      <c r="A41" s="2"/>
      <c r="B41" s="30">
        <v>45607</v>
      </c>
      <c r="C41" s="10" t="s">
        <v>2761</v>
      </c>
      <c r="D41" s="10" t="s">
        <v>2762</v>
      </c>
      <c r="E41" s="125" t="s">
        <v>588</v>
      </c>
      <c r="F41" s="54"/>
      <c r="G41" s="10" t="s">
        <v>2742</v>
      </c>
      <c r="H41" s="10">
        <v>2089.5</v>
      </c>
      <c r="I41" s="10" t="s">
        <v>14</v>
      </c>
      <c r="J41" s="10">
        <v>2089.5</v>
      </c>
      <c r="K41" s="10" t="s">
        <v>480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>
      <c r="A42" s="2"/>
      <c r="B42" s="30">
        <v>45607</v>
      </c>
      <c r="C42" s="10" t="s">
        <v>2763</v>
      </c>
      <c r="D42" s="10">
        <v>989893579</v>
      </c>
      <c r="E42" s="125" t="s">
        <v>502</v>
      </c>
      <c r="F42" s="54"/>
      <c r="G42" s="10" t="s">
        <v>623</v>
      </c>
      <c r="H42" s="10">
        <v>60</v>
      </c>
      <c r="I42" s="10" t="s">
        <v>14</v>
      </c>
      <c r="J42" s="10">
        <v>60</v>
      </c>
      <c r="K42" s="10" t="s">
        <v>2657</v>
      </c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>
      <c r="A43" s="2"/>
      <c r="B43" s="30">
        <v>45607</v>
      </c>
      <c r="C43" s="10" t="s">
        <v>2764</v>
      </c>
      <c r="D43" s="10" t="s">
        <v>2765</v>
      </c>
      <c r="E43" s="125" t="s">
        <v>453</v>
      </c>
      <c r="F43" s="54"/>
      <c r="G43" s="10" t="s">
        <v>2766</v>
      </c>
      <c r="H43" s="10">
        <v>174.5</v>
      </c>
      <c r="I43" s="10"/>
      <c r="J43" s="10">
        <v>349</v>
      </c>
      <c r="K43" s="10" t="s">
        <v>449</v>
      </c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>
      <c r="A44" s="2"/>
      <c r="B44" s="30">
        <v>45607</v>
      </c>
      <c r="C44" s="54" t="s">
        <v>2663</v>
      </c>
      <c r="D44" s="54" t="s">
        <v>2664</v>
      </c>
      <c r="E44" s="20" t="s">
        <v>588</v>
      </c>
      <c r="F44" s="54"/>
      <c r="G44" s="3" t="s">
        <v>531</v>
      </c>
      <c r="H44" s="3">
        <v>260</v>
      </c>
      <c r="I44" s="10" t="s">
        <v>14</v>
      </c>
      <c r="J44" s="10">
        <v>260</v>
      </c>
      <c r="K44" s="10" t="s">
        <v>480</v>
      </c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>
      <c r="A45" s="2"/>
      <c r="B45" s="201">
        <v>45608</v>
      </c>
      <c r="C45" s="202" t="s">
        <v>2767</v>
      </c>
      <c r="D45" s="202" t="s">
        <v>2768</v>
      </c>
      <c r="E45" s="89" t="s">
        <v>483</v>
      </c>
      <c r="F45" s="71"/>
      <c r="G45" s="202" t="s">
        <v>531</v>
      </c>
      <c r="H45" s="202">
        <v>380</v>
      </c>
      <c r="I45" s="202" t="s">
        <v>14</v>
      </c>
      <c r="J45" s="202">
        <v>380</v>
      </c>
      <c r="K45" s="202" t="s">
        <v>480</v>
      </c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>
      <c r="A46" s="2"/>
      <c r="B46" s="201">
        <v>45608</v>
      </c>
      <c r="C46" s="202" t="s">
        <v>2769</v>
      </c>
      <c r="D46" s="202">
        <v>933713982</v>
      </c>
      <c r="E46" s="89" t="s">
        <v>2770</v>
      </c>
      <c r="F46" s="71"/>
      <c r="G46" s="202" t="s">
        <v>2771</v>
      </c>
      <c r="H46" s="202">
        <v>190</v>
      </c>
      <c r="I46" s="202">
        <v>200</v>
      </c>
      <c r="J46" s="202">
        <v>390</v>
      </c>
      <c r="K46" s="202" t="s">
        <v>449</v>
      </c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>
      <c r="A47" s="2"/>
      <c r="B47" s="201">
        <v>45608</v>
      </c>
      <c r="C47" s="202" t="s">
        <v>2772</v>
      </c>
      <c r="D47" s="202" t="s">
        <v>2773</v>
      </c>
      <c r="E47" s="89" t="s">
        <v>498</v>
      </c>
      <c r="F47" s="71"/>
      <c r="G47" s="202" t="s">
        <v>2774</v>
      </c>
      <c r="H47" s="202">
        <v>144.5</v>
      </c>
      <c r="I47" s="202">
        <v>144.5</v>
      </c>
      <c r="J47" s="202">
        <v>289</v>
      </c>
      <c r="K47" s="202" t="s">
        <v>2657</v>
      </c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>
      <c r="A48" s="2"/>
      <c r="B48" s="201">
        <v>45608</v>
      </c>
      <c r="C48" s="202" t="s">
        <v>2775</v>
      </c>
      <c r="D48" s="202">
        <v>924106209</v>
      </c>
      <c r="E48" s="89" t="s">
        <v>446</v>
      </c>
      <c r="F48" s="71"/>
      <c r="G48" s="202" t="s">
        <v>2776</v>
      </c>
      <c r="H48" s="202">
        <v>80</v>
      </c>
      <c r="I48" s="202" t="s">
        <v>14</v>
      </c>
      <c r="J48" s="202">
        <v>80</v>
      </c>
      <c r="K48" s="202" t="s">
        <v>449</v>
      </c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>
      <c r="A49" s="2"/>
      <c r="B49" s="201">
        <v>45608</v>
      </c>
      <c r="C49" s="202" t="s">
        <v>2018</v>
      </c>
      <c r="D49" s="90" t="s">
        <v>1401</v>
      </c>
      <c r="E49" s="89" t="s">
        <v>530</v>
      </c>
      <c r="F49" s="71"/>
      <c r="G49" s="202" t="s">
        <v>531</v>
      </c>
      <c r="H49" s="202">
        <v>90</v>
      </c>
      <c r="I49" s="202" t="s">
        <v>14</v>
      </c>
      <c r="J49" s="202">
        <v>90</v>
      </c>
      <c r="K49" s="202" t="s">
        <v>1918</v>
      </c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>
      <c r="A50" s="2"/>
      <c r="B50" s="197">
        <v>45608</v>
      </c>
      <c r="C50" s="193" t="s">
        <v>2777</v>
      </c>
      <c r="D50" s="193" t="s">
        <v>2778</v>
      </c>
      <c r="E50" s="70" t="s">
        <v>522</v>
      </c>
      <c r="F50" s="71"/>
      <c r="G50" s="193" t="s">
        <v>2757</v>
      </c>
      <c r="H50" s="193">
        <v>449.5</v>
      </c>
      <c r="I50" s="193">
        <v>449.5</v>
      </c>
      <c r="J50" s="193">
        <v>899</v>
      </c>
      <c r="K50" s="193" t="s">
        <v>1918</v>
      </c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>
      <c r="A51" s="2"/>
      <c r="B51" s="30">
        <v>45609</v>
      </c>
      <c r="C51" s="10" t="s">
        <v>2779</v>
      </c>
      <c r="D51" s="10" t="s">
        <v>2780</v>
      </c>
      <c r="E51" s="125" t="s">
        <v>502</v>
      </c>
      <c r="F51" s="54"/>
      <c r="G51" s="2" t="s">
        <v>623</v>
      </c>
      <c r="H51" s="10">
        <v>60</v>
      </c>
      <c r="I51" s="10" t="s">
        <v>14</v>
      </c>
      <c r="J51" s="10">
        <v>60</v>
      </c>
      <c r="K51" s="3" t="s">
        <v>2657</v>
      </c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>
      <c r="A52" s="2"/>
      <c r="B52" s="30">
        <v>45609</v>
      </c>
      <c r="C52" s="10" t="s">
        <v>1860</v>
      </c>
      <c r="D52" s="10" t="s">
        <v>2781</v>
      </c>
      <c r="E52" s="125" t="s">
        <v>530</v>
      </c>
      <c r="F52" s="54"/>
      <c r="G52" s="10" t="s">
        <v>2782</v>
      </c>
      <c r="H52" s="126">
        <v>1151.5</v>
      </c>
      <c r="I52" s="10" t="s">
        <v>14</v>
      </c>
      <c r="J52" s="126">
        <v>1151.5</v>
      </c>
      <c r="K52" s="10" t="s">
        <v>1918</v>
      </c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>
      <c r="A53" s="2"/>
      <c r="B53" s="30">
        <v>45609</v>
      </c>
      <c r="C53" s="10" t="s">
        <v>2783</v>
      </c>
      <c r="D53" s="10">
        <v>964255590</v>
      </c>
      <c r="E53" s="125" t="s">
        <v>446</v>
      </c>
      <c r="F53" s="54"/>
      <c r="G53" s="10" t="s">
        <v>623</v>
      </c>
      <c r="H53" s="10">
        <v>80</v>
      </c>
      <c r="I53" s="10" t="s">
        <v>14</v>
      </c>
      <c r="J53" s="10">
        <v>80</v>
      </c>
      <c r="K53" s="10" t="s">
        <v>449</v>
      </c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>
      <c r="A54" s="2"/>
      <c r="B54" s="30">
        <v>45609</v>
      </c>
      <c r="C54" s="10" t="s">
        <v>2784</v>
      </c>
      <c r="D54" s="10" t="s">
        <v>2785</v>
      </c>
      <c r="E54" s="125" t="s">
        <v>522</v>
      </c>
      <c r="F54" s="54"/>
      <c r="G54" s="10" t="s">
        <v>2786</v>
      </c>
      <c r="H54" s="10">
        <v>352.5</v>
      </c>
      <c r="I54" s="10">
        <v>352.5</v>
      </c>
      <c r="J54" s="10">
        <v>705</v>
      </c>
      <c r="K54" s="10" t="s">
        <v>1918</v>
      </c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>
      <c r="A55" s="2"/>
      <c r="B55" s="30">
        <v>45609</v>
      </c>
      <c r="C55" s="10" t="s">
        <v>645</v>
      </c>
      <c r="D55" s="126" t="s">
        <v>2787</v>
      </c>
      <c r="E55" s="125" t="s">
        <v>502</v>
      </c>
      <c r="F55" s="54"/>
      <c r="G55" s="10" t="s">
        <v>503</v>
      </c>
      <c r="H55" s="10">
        <v>45</v>
      </c>
      <c r="I55" s="10" t="s">
        <v>14</v>
      </c>
      <c r="J55" s="10">
        <v>45</v>
      </c>
      <c r="K55" s="10" t="s">
        <v>1918</v>
      </c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>
      <c r="A56" s="2"/>
      <c r="B56" s="30">
        <v>45609</v>
      </c>
      <c r="C56" s="10" t="s">
        <v>2788</v>
      </c>
      <c r="D56" s="10" t="s">
        <v>1336</v>
      </c>
      <c r="E56" s="125" t="s">
        <v>530</v>
      </c>
      <c r="F56" s="54"/>
      <c r="G56" s="10" t="s">
        <v>531</v>
      </c>
      <c r="H56" s="10">
        <v>45</v>
      </c>
      <c r="I56" s="10" t="s">
        <v>14</v>
      </c>
      <c r="J56" s="10">
        <v>45</v>
      </c>
      <c r="K56" s="10" t="s">
        <v>480</v>
      </c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>
      <c r="A57" s="2"/>
      <c r="B57" s="201">
        <v>45610</v>
      </c>
      <c r="C57" s="202" t="s">
        <v>626</v>
      </c>
      <c r="D57" s="202" t="s">
        <v>2789</v>
      </c>
      <c r="E57" s="89" t="s">
        <v>498</v>
      </c>
      <c r="F57" s="71"/>
      <c r="G57" s="202" t="s">
        <v>2790</v>
      </c>
      <c r="H57" s="202">
        <v>120</v>
      </c>
      <c r="I57" s="202">
        <v>130</v>
      </c>
      <c r="J57" s="202">
        <v>250</v>
      </c>
      <c r="K57" s="202" t="s">
        <v>1918</v>
      </c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>
      <c r="A58" s="2"/>
      <c r="B58" s="201">
        <v>45610</v>
      </c>
      <c r="C58" s="202" t="s">
        <v>2791</v>
      </c>
      <c r="D58" s="202" t="s">
        <v>2792</v>
      </c>
      <c r="E58" s="89" t="s">
        <v>453</v>
      </c>
      <c r="F58" s="71"/>
      <c r="G58" s="202" t="s">
        <v>499</v>
      </c>
      <c r="H58" s="202">
        <v>279.5</v>
      </c>
      <c r="I58" s="202">
        <v>279.5</v>
      </c>
      <c r="J58" s="202">
        <v>559</v>
      </c>
      <c r="K58" s="202" t="s">
        <v>2657</v>
      </c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>
      <c r="A59" s="2"/>
      <c r="B59" s="201">
        <v>45610</v>
      </c>
      <c r="C59" s="202" t="s">
        <v>543</v>
      </c>
      <c r="D59" s="202" t="s">
        <v>2793</v>
      </c>
      <c r="E59" s="89" t="s">
        <v>483</v>
      </c>
      <c r="F59" s="71"/>
      <c r="G59" s="202" t="s">
        <v>484</v>
      </c>
      <c r="H59" s="202">
        <v>170</v>
      </c>
      <c r="I59" s="202" t="s">
        <v>14</v>
      </c>
      <c r="J59" s="202">
        <v>170</v>
      </c>
      <c r="K59" s="202" t="s">
        <v>480</v>
      </c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>
      <c r="A60" s="2"/>
      <c r="B60" s="201">
        <v>45610</v>
      </c>
      <c r="C60" s="202" t="s">
        <v>2794</v>
      </c>
      <c r="D60" s="202" t="s">
        <v>2795</v>
      </c>
      <c r="E60" s="89" t="s">
        <v>453</v>
      </c>
      <c r="F60" s="71"/>
      <c r="G60" s="202" t="s">
        <v>454</v>
      </c>
      <c r="H60" s="202">
        <v>150</v>
      </c>
      <c r="I60" s="202" t="s">
        <v>14</v>
      </c>
      <c r="J60" s="202">
        <v>150</v>
      </c>
      <c r="K60" s="202" t="s">
        <v>2657</v>
      </c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>
      <c r="A61" s="2"/>
      <c r="B61" s="201">
        <v>45610</v>
      </c>
      <c r="C61" s="202" t="s">
        <v>2796</v>
      </c>
      <c r="D61" s="202">
        <v>973509540</v>
      </c>
      <c r="E61" s="89" t="s">
        <v>453</v>
      </c>
      <c r="F61" s="71"/>
      <c r="G61" s="202" t="s">
        <v>2741</v>
      </c>
      <c r="H61" s="202">
        <v>75</v>
      </c>
      <c r="I61" s="202">
        <v>75</v>
      </c>
      <c r="J61" s="202">
        <v>150</v>
      </c>
      <c r="K61" s="202" t="s">
        <v>1918</v>
      </c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>
      <c r="A62" s="2"/>
      <c r="B62" s="201">
        <v>45610</v>
      </c>
      <c r="C62" s="202" t="s">
        <v>2797</v>
      </c>
      <c r="D62" s="202">
        <v>988444458</v>
      </c>
      <c r="E62" s="89" t="s">
        <v>502</v>
      </c>
      <c r="F62" s="71"/>
      <c r="G62" s="202" t="s">
        <v>623</v>
      </c>
      <c r="H62" s="202">
        <v>70</v>
      </c>
      <c r="I62" s="202" t="s">
        <v>14</v>
      </c>
      <c r="J62" s="202">
        <v>70</v>
      </c>
      <c r="K62" s="202" t="s">
        <v>2657</v>
      </c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>
      <c r="A63" s="2"/>
      <c r="B63" s="201">
        <v>45610</v>
      </c>
      <c r="C63" s="202" t="s">
        <v>2798</v>
      </c>
      <c r="D63" s="202" t="s">
        <v>2799</v>
      </c>
      <c r="E63" s="89" t="s">
        <v>453</v>
      </c>
      <c r="F63" s="71"/>
      <c r="G63" s="202" t="s">
        <v>503</v>
      </c>
      <c r="H63" s="202">
        <v>50</v>
      </c>
      <c r="I63" s="202" t="s">
        <v>14</v>
      </c>
      <c r="J63" s="202">
        <v>50</v>
      </c>
      <c r="K63" s="202" t="s">
        <v>449</v>
      </c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>
      <c r="A64" s="2"/>
      <c r="B64" s="30">
        <v>45611</v>
      </c>
      <c r="C64" s="10" t="s">
        <v>2800</v>
      </c>
      <c r="D64" s="10" t="s">
        <v>2801</v>
      </c>
      <c r="E64" s="20" t="s">
        <v>2802</v>
      </c>
      <c r="F64" s="54"/>
      <c r="G64" s="10" t="s">
        <v>2803</v>
      </c>
      <c r="H64" s="10">
        <v>650</v>
      </c>
      <c r="I64" s="10" t="s">
        <v>14</v>
      </c>
      <c r="J64" s="10">
        <v>650</v>
      </c>
      <c r="K64" s="10" t="s">
        <v>2657</v>
      </c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>
      <c r="A65" s="2"/>
      <c r="B65" s="30">
        <v>45611</v>
      </c>
      <c r="C65" s="10" t="s">
        <v>548</v>
      </c>
      <c r="D65" s="10" t="s">
        <v>2804</v>
      </c>
      <c r="E65" s="125" t="s">
        <v>467</v>
      </c>
      <c r="F65" s="54"/>
      <c r="G65" s="10" t="s">
        <v>468</v>
      </c>
      <c r="H65" s="10">
        <v>290</v>
      </c>
      <c r="I65" s="10" t="s">
        <v>14</v>
      </c>
      <c r="J65" s="10">
        <v>290</v>
      </c>
      <c r="K65" s="10" t="s">
        <v>2657</v>
      </c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>
      <c r="A66" s="2"/>
      <c r="B66" s="30">
        <v>45611</v>
      </c>
      <c r="C66" s="10" t="s">
        <v>1315</v>
      </c>
      <c r="D66" s="10" t="s">
        <v>1316</v>
      </c>
      <c r="E66" s="125" t="s">
        <v>530</v>
      </c>
      <c r="F66" s="54"/>
      <c r="G66" s="10" t="s">
        <v>531</v>
      </c>
      <c r="H66" s="10">
        <v>110</v>
      </c>
      <c r="I66" s="10" t="s">
        <v>14</v>
      </c>
      <c r="J66" s="10">
        <v>110</v>
      </c>
      <c r="K66" s="10" t="s">
        <v>480</v>
      </c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>
      <c r="A67" s="2"/>
      <c r="B67" s="30">
        <v>45611</v>
      </c>
      <c r="C67" s="10" t="s">
        <v>2805</v>
      </c>
      <c r="D67" s="10">
        <v>998193380</v>
      </c>
      <c r="E67" s="125" t="s">
        <v>502</v>
      </c>
      <c r="F67" s="54"/>
      <c r="G67" s="10" t="s">
        <v>2806</v>
      </c>
      <c r="H67" s="10">
        <v>60</v>
      </c>
      <c r="I67" s="10" t="s">
        <v>14</v>
      </c>
      <c r="J67" s="10">
        <v>60</v>
      </c>
      <c r="K67" s="10" t="s">
        <v>2657</v>
      </c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>
      <c r="A68" s="2"/>
      <c r="B68" s="200">
        <v>45611</v>
      </c>
      <c r="C68" s="10" t="s">
        <v>2807</v>
      </c>
      <c r="D68" s="10">
        <v>980312480</v>
      </c>
      <c r="E68" s="125" t="s">
        <v>446</v>
      </c>
      <c r="F68" s="54"/>
      <c r="G68" s="10" t="s">
        <v>2808</v>
      </c>
      <c r="H68" s="10">
        <f>1590/2</f>
        <v>795</v>
      </c>
      <c r="I68" s="10">
        <v>795</v>
      </c>
      <c r="J68" s="10">
        <v>1590</v>
      </c>
      <c r="K68" s="10" t="s">
        <v>480</v>
      </c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>
      <c r="A69" s="2"/>
      <c r="B69" s="197">
        <v>45612</v>
      </c>
      <c r="C69" s="193" t="s">
        <v>2809</v>
      </c>
      <c r="D69" s="193" t="s">
        <v>2810</v>
      </c>
      <c r="E69" s="70" t="s">
        <v>453</v>
      </c>
      <c r="F69" s="71"/>
      <c r="G69" s="193" t="s">
        <v>2811</v>
      </c>
      <c r="H69" s="193">
        <v>300</v>
      </c>
      <c r="I69" s="193">
        <v>300</v>
      </c>
      <c r="J69" s="193">
        <v>600</v>
      </c>
      <c r="K69" s="193" t="s">
        <v>1918</v>
      </c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>
      <c r="A70" s="2"/>
      <c r="B70" s="197">
        <v>45612</v>
      </c>
      <c r="C70" s="193" t="s">
        <v>2812</v>
      </c>
      <c r="D70" s="193" t="s">
        <v>2813</v>
      </c>
      <c r="E70" s="70" t="s">
        <v>588</v>
      </c>
      <c r="F70" s="71"/>
      <c r="G70" s="193" t="s">
        <v>531</v>
      </c>
      <c r="H70" s="193">
        <v>220</v>
      </c>
      <c r="I70" s="193" t="s">
        <v>14</v>
      </c>
      <c r="J70" s="193">
        <v>220</v>
      </c>
      <c r="K70" s="193" t="s">
        <v>449</v>
      </c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>
      <c r="A71" s="2"/>
      <c r="B71" s="31">
        <v>45614</v>
      </c>
      <c r="C71" s="3" t="s">
        <v>2814</v>
      </c>
      <c r="D71" s="3" t="s">
        <v>2815</v>
      </c>
      <c r="E71" s="20" t="s">
        <v>446</v>
      </c>
      <c r="F71" s="54"/>
      <c r="G71" s="3" t="s">
        <v>2816</v>
      </c>
      <c r="H71" s="3">
        <v>164.5</v>
      </c>
      <c r="I71" s="3">
        <v>164.5</v>
      </c>
      <c r="J71" s="3">
        <v>329</v>
      </c>
      <c r="K71" s="3" t="s">
        <v>449</v>
      </c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>
      <c r="A72" s="2"/>
      <c r="B72" s="30">
        <v>45614</v>
      </c>
      <c r="C72" s="10" t="s">
        <v>2817</v>
      </c>
      <c r="D72" s="10">
        <f>593963084127</f>
        <v>593963084127</v>
      </c>
      <c r="E72" s="125" t="s">
        <v>483</v>
      </c>
      <c r="F72" s="54"/>
      <c r="G72" s="10" t="s">
        <v>2818</v>
      </c>
      <c r="H72" s="10">
        <v>210</v>
      </c>
      <c r="I72" s="10" t="s">
        <v>14</v>
      </c>
      <c r="J72" s="10">
        <v>210</v>
      </c>
      <c r="K72" s="10" t="s">
        <v>1918</v>
      </c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>
      <c r="A73" s="2"/>
      <c r="B73" s="30">
        <v>45614</v>
      </c>
      <c r="C73" s="10" t="s">
        <v>2018</v>
      </c>
      <c r="D73" s="10" t="s">
        <v>1401</v>
      </c>
      <c r="E73" s="125" t="s">
        <v>530</v>
      </c>
      <c r="F73" s="54"/>
      <c r="G73" s="10" t="s">
        <v>531</v>
      </c>
      <c r="H73" s="10">
        <v>90</v>
      </c>
      <c r="I73" s="10" t="s">
        <v>14</v>
      </c>
      <c r="J73" s="10">
        <v>90</v>
      </c>
      <c r="K73" s="10" t="s">
        <v>480</v>
      </c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>
      <c r="A74" s="2"/>
      <c r="B74" s="30">
        <v>45614</v>
      </c>
      <c r="C74" s="10" t="s">
        <v>2819</v>
      </c>
      <c r="D74" s="10" t="s">
        <v>2820</v>
      </c>
      <c r="E74" s="125" t="s">
        <v>453</v>
      </c>
      <c r="F74" s="54"/>
      <c r="G74" s="10" t="s">
        <v>503</v>
      </c>
      <c r="H74" s="10">
        <v>80</v>
      </c>
      <c r="I74" s="10" t="s">
        <v>14</v>
      </c>
      <c r="J74" s="10">
        <v>80</v>
      </c>
      <c r="K74" s="10" t="s">
        <v>1918</v>
      </c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>
      <c r="A75" s="2"/>
      <c r="B75" s="30">
        <v>45614</v>
      </c>
      <c r="C75" s="10" t="s">
        <v>2821</v>
      </c>
      <c r="D75" s="10" t="s">
        <v>2822</v>
      </c>
      <c r="E75" s="125" t="s">
        <v>502</v>
      </c>
      <c r="F75" s="54"/>
      <c r="G75" s="10" t="s">
        <v>503</v>
      </c>
      <c r="H75" s="10">
        <v>80</v>
      </c>
      <c r="I75" s="10" t="s">
        <v>14</v>
      </c>
      <c r="J75" s="10">
        <v>80</v>
      </c>
      <c r="K75" s="10" t="s">
        <v>449</v>
      </c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>
      <c r="A76" s="2"/>
      <c r="B76" s="30">
        <v>45614</v>
      </c>
      <c r="C76" s="10" t="s">
        <v>2788</v>
      </c>
      <c r="D76" s="10" t="s">
        <v>1336</v>
      </c>
      <c r="E76" s="125" t="s">
        <v>530</v>
      </c>
      <c r="F76" s="54"/>
      <c r="G76" s="10" t="s">
        <v>531</v>
      </c>
      <c r="H76" s="10">
        <v>45</v>
      </c>
      <c r="I76" s="10" t="s">
        <v>14</v>
      </c>
      <c r="J76" s="10">
        <v>45</v>
      </c>
      <c r="K76" s="10" t="s">
        <v>480</v>
      </c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>
      <c r="A77" s="2"/>
      <c r="B77" s="30">
        <v>45614</v>
      </c>
      <c r="C77" s="10" t="s">
        <v>2823</v>
      </c>
      <c r="D77" s="10" t="s">
        <v>2824</v>
      </c>
      <c r="E77" s="125" t="s">
        <v>522</v>
      </c>
      <c r="F77" s="54"/>
      <c r="G77" s="10" t="s">
        <v>535</v>
      </c>
      <c r="H77" s="10">
        <v>200</v>
      </c>
      <c r="I77" s="10" t="s">
        <v>14</v>
      </c>
      <c r="J77" s="10">
        <v>200</v>
      </c>
      <c r="K77" s="10" t="s">
        <v>449</v>
      </c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>
      <c r="A78" s="2"/>
      <c r="B78" s="197">
        <v>45615</v>
      </c>
      <c r="C78" s="193" t="s">
        <v>543</v>
      </c>
      <c r="D78" s="193" t="s">
        <v>2793</v>
      </c>
      <c r="E78" s="70" t="s">
        <v>483</v>
      </c>
      <c r="F78" s="71"/>
      <c r="G78" s="193" t="s">
        <v>2825</v>
      </c>
      <c r="H78" s="193">
        <v>170</v>
      </c>
      <c r="I78" s="193" t="s">
        <v>14</v>
      </c>
      <c r="J78" s="193">
        <v>170</v>
      </c>
      <c r="K78" s="193" t="s">
        <v>480</v>
      </c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>
      <c r="A79" s="2"/>
      <c r="B79" s="197">
        <v>45615</v>
      </c>
      <c r="C79" s="193" t="s">
        <v>2826</v>
      </c>
      <c r="D79" s="193" t="s">
        <v>2827</v>
      </c>
      <c r="E79" s="70" t="s">
        <v>498</v>
      </c>
      <c r="F79" s="71"/>
      <c r="G79" s="193" t="s">
        <v>2828</v>
      </c>
      <c r="H79" s="193">
        <v>184.5</v>
      </c>
      <c r="I79" s="193">
        <v>214.5</v>
      </c>
      <c r="J79" s="193">
        <v>399</v>
      </c>
      <c r="K79" s="193" t="s">
        <v>1918</v>
      </c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>
      <c r="A80" s="2"/>
      <c r="B80" s="201">
        <v>45615</v>
      </c>
      <c r="C80" s="202" t="s">
        <v>2826</v>
      </c>
      <c r="D80" s="202" t="s">
        <v>2829</v>
      </c>
      <c r="E80" s="89" t="s">
        <v>588</v>
      </c>
      <c r="F80" s="71"/>
      <c r="G80" s="202" t="s">
        <v>484</v>
      </c>
      <c r="H80" s="202">
        <v>75</v>
      </c>
      <c r="I80" s="202">
        <v>75</v>
      </c>
      <c r="J80" s="202">
        <v>150</v>
      </c>
      <c r="K80" s="202" t="s">
        <v>2657</v>
      </c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>
      <c r="A81" s="2"/>
      <c r="B81" s="197">
        <v>45615</v>
      </c>
      <c r="C81" s="193" t="s">
        <v>2788</v>
      </c>
      <c r="D81" s="193" t="s">
        <v>1336</v>
      </c>
      <c r="E81" s="70" t="s">
        <v>530</v>
      </c>
      <c r="F81" s="71"/>
      <c r="G81" s="193" t="s">
        <v>531</v>
      </c>
      <c r="H81" s="193">
        <v>45</v>
      </c>
      <c r="I81" s="193" t="s">
        <v>14</v>
      </c>
      <c r="J81" s="193">
        <v>45</v>
      </c>
      <c r="K81" s="193" t="s">
        <v>480</v>
      </c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>
      <c r="A82" s="2"/>
      <c r="B82" s="31">
        <v>45616</v>
      </c>
      <c r="C82" s="3" t="s">
        <v>2830</v>
      </c>
      <c r="D82" s="3" t="s">
        <v>2831</v>
      </c>
      <c r="E82" s="20" t="s">
        <v>453</v>
      </c>
      <c r="F82" s="54"/>
      <c r="G82" s="3" t="s">
        <v>2832</v>
      </c>
      <c r="H82" s="3">
        <v>425</v>
      </c>
      <c r="I82" s="3">
        <v>425</v>
      </c>
      <c r="J82" s="3">
        <v>850</v>
      </c>
      <c r="K82" s="3" t="s">
        <v>449</v>
      </c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>
      <c r="A83" s="2"/>
      <c r="B83" s="30">
        <v>45616</v>
      </c>
      <c r="C83" s="10">
        <v>345</v>
      </c>
      <c r="D83" s="10" t="s">
        <v>2833</v>
      </c>
      <c r="E83" s="125" t="s">
        <v>588</v>
      </c>
      <c r="F83" s="54"/>
      <c r="G83" s="10" t="s">
        <v>464</v>
      </c>
      <c r="H83" s="10">
        <v>130</v>
      </c>
      <c r="I83" s="10" t="s">
        <v>14</v>
      </c>
      <c r="J83" s="10">
        <v>130</v>
      </c>
      <c r="K83" s="10" t="s">
        <v>2657</v>
      </c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>
      <c r="A84" s="2"/>
      <c r="B84" s="30">
        <v>45616</v>
      </c>
      <c r="C84" s="10" t="s">
        <v>2834</v>
      </c>
      <c r="D84" s="10">
        <v>987127049</v>
      </c>
      <c r="E84" s="125" t="s">
        <v>453</v>
      </c>
      <c r="F84" s="54"/>
      <c r="G84" s="10" t="s">
        <v>2732</v>
      </c>
      <c r="H84" s="10">
        <v>146.91</v>
      </c>
      <c r="I84" s="10">
        <v>146.91</v>
      </c>
      <c r="J84" s="10">
        <v>249</v>
      </c>
      <c r="K84" s="10" t="s">
        <v>2657</v>
      </c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>
      <c r="A85" s="2"/>
      <c r="B85" s="30">
        <v>45616</v>
      </c>
      <c r="C85" s="10" t="s">
        <v>2835</v>
      </c>
      <c r="D85" s="10">
        <f>447951741662</f>
        <v>447951741662</v>
      </c>
      <c r="E85" s="125" t="s">
        <v>467</v>
      </c>
      <c r="F85" s="54"/>
      <c r="G85" s="10" t="s">
        <v>468</v>
      </c>
      <c r="H85" s="10">
        <v>290</v>
      </c>
      <c r="I85" s="10" t="s">
        <v>14</v>
      </c>
      <c r="J85" s="10">
        <v>290</v>
      </c>
      <c r="K85" s="10" t="s">
        <v>2657</v>
      </c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>
      <c r="A86" s="2"/>
      <c r="B86" s="30">
        <v>45616</v>
      </c>
      <c r="C86" s="10" t="s">
        <v>2836</v>
      </c>
      <c r="D86" s="10">
        <v>993285167</v>
      </c>
      <c r="E86" s="125" t="s">
        <v>498</v>
      </c>
      <c r="F86" s="54"/>
      <c r="G86" s="10" t="s">
        <v>2837</v>
      </c>
      <c r="H86" s="10">
        <v>150</v>
      </c>
      <c r="I86" s="10"/>
      <c r="J86" s="10">
        <v>299</v>
      </c>
      <c r="K86" s="10" t="s">
        <v>449</v>
      </c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>
      <c r="A87" s="2"/>
      <c r="B87" s="30">
        <v>45616</v>
      </c>
      <c r="C87" s="10" t="s">
        <v>2838</v>
      </c>
      <c r="D87" s="10" t="s">
        <v>2725</v>
      </c>
      <c r="E87" s="125" t="s">
        <v>588</v>
      </c>
      <c r="F87" s="54"/>
      <c r="G87" s="10" t="s">
        <v>484</v>
      </c>
      <c r="H87" s="10">
        <v>170</v>
      </c>
      <c r="I87" s="10" t="s">
        <v>14</v>
      </c>
      <c r="J87" s="10">
        <v>170</v>
      </c>
      <c r="K87" s="10" t="s">
        <v>480</v>
      </c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>
      <c r="A88" s="2"/>
      <c r="B88" s="31">
        <v>45616</v>
      </c>
      <c r="C88" s="3" t="s">
        <v>2839</v>
      </c>
      <c r="D88" s="3" t="s">
        <v>2840</v>
      </c>
      <c r="E88" s="20" t="s">
        <v>588</v>
      </c>
      <c r="F88" s="54"/>
      <c r="G88" s="3" t="s">
        <v>464</v>
      </c>
      <c r="H88" s="3">
        <v>55</v>
      </c>
      <c r="I88" s="3">
        <v>55</v>
      </c>
      <c r="J88" s="3">
        <v>110</v>
      </c>
      <c r="K88" s="3" t="s">
        <v>2657</v>
      </c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>
      <c r="A89" s="2"/>
      <c r="B89" s="30">
        <v>45616</v>
      </c>
      <c r="C89" s="10" t="s">
        <v>2841</v>
      </c>
      <c r="D89" s="10" t="s">
        <v>2842</v>
      </c>
      <c r="E89" s="125" t="s">
        <v>522</v>
      </c>
      <c r="F89" s="54"/>
      <c r="G89" s="10" t="s">
        <v>454</v>
      </c>
      <c r="H89" s="10">
        <v>195</v>
      </c>
      <c r="I89" s="10">
        <v>195</v>
      </c>
      <c r="J89" s="10">
        <v>390</v>
      </c>
      <c r="K89" s="10" t="s">
        <v>2657</v>
      </c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>
      <c r="A90" s="2"/>
      <c r="B90" s="30">
        <v>45616</v>
      </c>
      <c r="C90" s="10" t="s">
        <v>543</v>
      </c>
      <c r="D90" s="10" t="s">
        <v>2793</v>
      </c>
      <c r="E90" s="125" t="s">
        <v>483</v>
      </c>
      <c r="F90" s="54"/>
      <c r="G90" s="10" t="s">
        <v>484</v>
      </c>
      <c r="H90" s="10">
        <v>170</v>
      </c>
      <c r="I90" s="10" t="s">
        <v>14</v>
      </c>
      <c r="J90" s="10">
        <v>170</v>
      </c>
      <c r="K90" s="10" t="s">
        <v>480</v>
      </c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>
      <c r="A91" s="2"/>
      <c r="B91" s="30">
        <v>45616</v>
      </c>
      <c r="C91" s="10" t="s">
        <v>2843</v>
      </c>
      <c r="D91" s="126" t="s">
        <v>2844</v>
      </c>
      <c r="E91" s="125" t="s">
        <v>588</v>
      </c>
      <c r="F91" s="54"/>
      <c r="G91" s="10" t="s">
        <v>531</v>
      </c>
      <c r="H91" s="10">
        <v>90</v>
      </c>
      <c r="I91" s="10" t="s">
        <v>14</v>
      </c>
      <c r="J91" s="10">
        <v>90</v>
      </c>
      <c r="K91" s="10" t="s">
        <v>1918</v>
      </c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>
      <c r="A92" s="2"/>
      <c r="B92" s="197">
        <v>7350467</v>
      </c>
      <c r="C92" s="193" t="s">
        <v>2814</v>
      </c>
      <c r="D92" s="193" t="s">
        <v>2845</v>
      </c>
      <c r="E92" s="70" t="s">
        <v>446</v>
      </c>
      <c r="F92" s="71"/>
      <c r="G92" s="193" t="s">
        <v>2741</v>
      </c>
      <c r="H92" s="193">
        <v>75</v>
      </c>
      <c r="I92" s="193"/>
      <c r="J92" s="193">
        <v>150</v>
      </c>
      <c r="K92" s="193" t="s">
        <v>449</v>
      </c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>
      <c r="A93" s="2"/>
      <c r="B93" s="197">
        <v>45617</v>
      </c>
      <c r="C93" s="193" t="s">
        <v>1296</v>
      </c>
      <c r="D93" s="193" t="s">
        <v>2833</v>
      </c>
      <c r="E93" s="70" t="s">
        <v>588</v>
      </c>
      <c r="F93" s="71"/>
      <c r="G93" s="193" t="s">
        <v>484</v>
      </c>
      <c r="H93" s="193">
        <v>130</v>
      </c>
      <c r="I93" s="193" t="s">
        <v>14</v>
      </c>
      <c r="J93" s="193">
        <v>130</v>
      </c>
      <c r="K93" s="193" t="s">
        <v>2657</v>
      </c>
      <c r="L93" s="2"/>
      <c r="M93" s="2">
        <v>4</v>
      </c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>
      <c r="A94" s="2"/>
      <c r="B94" s="197">
        <v>45617</v>
      </c>
      <c r="C94" s="193" t="s">
        <v>2846</v>
      </c>
      <c r="D94" s="71" t="s">
        <v>2847</v>
      </c>
      <c r="E94" s="70" t="s">
        <v>530</v>
      </c>
      <c r="F94" s="71"/>
      <c r="G94" s="193" t="s">
        <v>2848</v>
      </c>
      <c r="H94" s="193">
        <v>84</v>
      </c>
      <c r="I94" s="193" t="s">
        <v>14</v>
      </c>
      <c r="J94" s="193">
        <v>84</v>
      </c>
      <c r="K94" s="193" t="s">
        <v>1918</v>
      </c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>
      <c r="A95" s="2"/>
      <c r="B95" s="197">
        <v>45617</v>
      </c>
      <c r="C95" s="193" t="s">
        <v>2115</v>
      </c>
      <c r="D95" s="71" t="s">
        <v>2849</v>
      </c>
      <c r="E95" s="70" t="s">
        <v>498</v>
      </c>
      <c r="F95" s="71"/>
      <c r="G95" s="193" t="s">
        <v>2709</v>
      </c>
      <c r="H95" s="193">
        <v>300</v>
      </c>
      <c r="I95" s="193">
        <v>249</v>
      </c>
      <c r="J95" s="193">
        <v>549</v>
      </c>
      <c r="K95" s="193" t="s">
        <v>1918</v>
      </c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>
      <c r="A96" s="2"/>
      <c r="B96" s="197">
        <v>45617</v>
      </c>
      <c r="C96" s="193" t="s">
        <v>2850</v>
      </c>
      <c r="D96" s="193" t="s">
        <v>2851</v>
      </c>
      <c r="E96" s="70" t="s">
        <v>588</v>
      </c>
      <c r="F96" s="71"/>
      <c r="G96" s="193" t="s">
        <v>2852</v>
      </c>
      <c r="H96" s="193">
        <v>100</v>
      </c>
      <c r="I96" s="193" t="s">
        <v>14</v>
      </c>
      <c r="J96" s="193">
        <v>100</v>
      </c>
      <c r="K96" s="193" t="s">
        <v>1918</v>
      </c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>
      <c r="A97" s="2"/>
      <c r="B97" s="30">
        <v>45618</v>
      </c>
      <c r="C97" s="10" t="s">
        <v>2853</v>
      </c>
      <c r="D97" s="10" t="s">
        <v>2854</v>
      </c>
      <c r="E97" s="125" t="s">
        <v>483</v>
      </c>
      <c r="F97" s="54"/>
      <c r="G97" s="10" t="s">
        <v>2855</v>
      </c>
      <c r="H97" s="10">
        <v>122.5</v>
      </c>
      <c r="I97" s="10" t="s">
        <v>14</v>
      </c>
      <c r="J97" s="10">
        <v>122.5</v>
      </c>
      <c r="K97" s="10" t="s">
        <v>2657</v>
      </c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>
      <c r="A98" s="2"/>
      <c r="B98" s="30">
        <v>45618</v>
      </c>
      <c r="C98" s="126" t="s">
        <v>2856</v>
      </c>
      <c r="D98" s="126" t="s">
        <v>2857</v>
      </c>
      <c r="E98" s="125" t="s">
        <v>588</v>
      </c>
      <c r="F98" s="54"/>
      <c r="G98" s="10" t="s">
        <v>484</v>
      </c>
      <c r="H98" s="10">
        <v>90</v>
      </c>
      <c r="I98" s="10" t="s">
        <v>14</v>
      </c>
      <c r="J98" s="10">
        <v>90</v>
      </c>
      <c r="K98" s="10" t="s">
        <v>1918</v>
      </c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>
      <c r="A99" s="2"/>
      <c r="B99" s="200">
        <v>45618</v>
      </c>
      <c r="C99" s="10" t="s">
        <v>2858</v>
      </c>
      <c r="D99" s="10" t="s">
        <v>2859</v>
      </c>
      <c r="E99" s="125" t="s">
        <v>588</v>
      </c>
      <c r="F99" s="54"/>
      <c r="G99" s="10" t="s">
        <v>464</v>
      </c>
      <c r="H99" s="10">
        <v>130</v>
      </c>
      <c r="I99" s="10" t="s">
        <v>14</v>
      </c>
      <c r="J99" s="10">
        <v>130</v>
      </c>
      <c r="K99" s="10" t="s">
        <v>480</v>
      </c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>
      <c r="A100" s="2"/>
      <c r="B100" s="197">
        <v>45619</v>
      </c>
      <c r="C100" s="193" t="s">
        <v>2860</v>
      </c>
      <c r="D100" s="193" t="s">
        <v>2861</v>
      </c>
      <c r="E100" s="70" t="s">
        <v>453</v>
      </c>
      <c r="F100" s="71"/>
      <c r="G100" s="193" t="s">
        <v>623</v>
      </c>
      <c r="H100" s="193">
        <v>70</v>
      </c>
      <c r="I100" s="193" t="s">
        <v>14</v>
      </c>
      <c r="J100" s="193">
        <v>70</v>
      </c>
      <c r="K100" s="193" t="s">
        <v>2657</v>
      </c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>
      <c r="A101" s="2"/>
      <c r="B101" s="197">
        <v>45619</v>
      </c>
      <c r="C101" s="193" t="s">
        <v>2018</v>
      </c>
      <c r="D101" s="193" t="s">
        <v>1401</v>
      </c>
      <c r="E101" s="70" t="s">
        <v>530</v>
      </c>
      <c r="F101" s="71"/>
      <c r="G101" s="193" t="s">
        <v>531</v>
      </c>
      <c r="H101" s="193">
        <v>45</v>
      </c>
      <c r="I101" s="193" t="s">
        <v>14</v>
      </c>
      <c r="J101" s="193">
        <v>45</v>
      </c>
      <c r="K101" s="193" t="s">
        <v>480</v>
      </c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>
      <c r="A102" s="2"/>
      <c r="B102" s="197">
        <v>45619</v>
      </c>
      <c r="C102" s="193" t="s">
        <v>720</v>
      </c>
      <c r="D102" s="193" t="s">
        <v>2862</v>
      </c>
      <c r="E102" s="70" t="s">
        <v>453</v>
      </c>
      <c r="F102" s="71"/>
      <c r="G102" s="193" t="s">
        <v>2774</v>
      </c>
      <c r="H102" s="193">
        <v>119.5</v>
      </c>
      <c r="I102" s="193">
        <v>119.5</v>
      </c>
      <c r="J102" s="193">
        <v>239</v>
      </c>
      <c r="K102" s="193" t="s">
        <v>2657</v>
      </c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>
      <c r="A103" s="2"/>
      <c r="B103" s="197">
        <v>45619</v>
      </c>
      <c r="C103" s="193" t="s">
        <v>2863</v>
      </c>
      <c r="D103" s="193" t="s">
        <v>2864</v>
      </c>
      <c r="E103" s="70" t="s">
        <v>588</v>
      </c>
      <c r="F103" s="71"/>
      <c r="G103" s="193" t="s">
        <v>464</v>
      </c>
      <c r="H103" s="193">
        <v>90</v>
      </c>
      <c r="I103" s="193" t="s">
        <v>14</v>
      </c>
      <c r="J103" s="193">
        <v>90</v>
      </c>
      <c r="K103" s="193" t="s">
        <v>2657</v>
      </c>
      <c r="L103" s="2"/>
      <c r="M103" s="2"/>
      <c r="N103" s="171">
        <v>49.5</v>
      </c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>
      <c r="A104" s="2"/>
      <c r="B104" s="197">
        <v>45619</v>
      </c>
      <c r="C104" s="193" t="s">
        <v>2755</v>
      </c>
      <c r="D104" s="193" t="s">
        <v>2865</v>
      </c>
      <c r="E104" s="70" t="s">
        <v>467</v>
      </c>
      <c r="F104" s="71"/>
      <c r="G104" s="193" t="s">
        <v>2866</v>
      </c>
      <c r="H104" s="193">
        <v>190</v>
      </c>
      <c r="I104" s="193" t="s">
        <v>14</v>
      </c>
      <c r="J104" s="193">
        <v>190</v>
      </c>
      <c r="K104" s="193" t="s">
        <v>1918</v>
      </c>
      <c r="L104" s="2"/>
      <c r="M104" s="2"/>
      <c r="N104" s="2">
        <v>47</v>
      </c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>
      <c r="A105" s="2"/>
      <c r="B105" s="197">
        <v>45619</v>
      </c>
      <c r="C105" s="193" t="s">
        <v>2814</v>
      </c>
      <c r="D105" s="193" t="s">
        <v>2845</v>
      </c>
      <c r="E105" s="70" t="s">
        <v>446</v>
      </c>
      <c r="F105" s="71"/>
      <c r="G105" s="193" t="s">
        <v>2741</v>
      </c>
      <c r="H105" s="193">
        <v>75</v>
      </c>
      <c r="I105" s="193"/>
      <c r="J105" s="193">
        <v>150</v>
      </c>
      <c r="K105" s="193" t="s">
        <v>480</v>
      </c>
      <c r="L105" s="2"/>
      <c r="M105" s="2"/>
      <c r="N105" s="2">
        <f>N103-N104</f>
        <v>2.5</v>
      </c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>
      <c r="A106" s="2"/>
      <c r="B106" s="30">
        <v>45621</v>
      </c>
      <c r="C106" s="10" t="s">
        <v>2867</v>
      </c>
      <c r="D106" s="10" t="s">
        <v>2868</v>
      </c>
      <c r="E106" s="125" t="s">
        <v>446</v>
      </c>
      <c r="F106" s="54"/>
      <c r="G106" s="10" t="s">
        <v>2790</v>
      </c>
      <c r="H106" s="10">
        <v>250</v>
      </c>
      <c r="I106" s="10"/>
      <c r="J106" s="10">
        <v>499</v>
      </c>
      <c r="K106" s="10" t="s">
        <v>449</v>
      </c>
      <c r="L106" s="2"/>
      <c r="M106" s="2"/>
      <c r="N106" s="171">
        <v>30</v>
      </c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>
      <c r="A107" s="2"/>
      <c r="B107" s="30">
        <v>45621</v>
      </c>
      <c r="C107" s="10" t="s">
        <v>2869</v>
      </c>
      <c r="D107" s="10" t="s">
        <v>2870</v>
      </c>
      <c r="E107" s="125" t="s">
        <v>453</v>
      </c>
      <c r="F107" s="54"/>
      <c r="G107" s="10" t="s">
        <v>623</v>
      </c>
      <c r="H107" s="10">
        <v>60</v>
      </c>
      <c r="I107" s="10" t="s">
        <v>14</v>
      </c>
      <c r="J107" s="10">
        <v>60</v>
      </c>
      <c r="K107" s="10" t="s">
        <v>2657</v>
      </c>
      <c r="L107" s="2"/>
      <c r="M107" s="2"/>
      <c r="N107" s="2">
        <v>32.5</v>
      </c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>
      <c r="A108" s="2"/>
      <c r="B108" s="30">
        <v>45621</v>
      </c>
      <c r="C108" s="126" t="s">
        <v>2856</v>
      </c>
      <c r="D108" s="126" t="s">
        <v>2857</v>
      </c>
      <c r="E108" s="125" t="s">
        <v>588</v>
      </c>
      <c r="F108" s="54"/>
      <c r="G108" s="10" t="s">
        <v>2871</v>
      </c>
      <c r="H108" s="10">
        <v>429</v>
      </c>
      <c r="I108" s="10" t="s">
        <v>14</v>
      </c>
      <c r="J108" s="10">
        <v>429</v>
      </c>
      <c r="K108" s="10" t="s">
        <v>1918</v>
      </c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>
      <c r="A109" s="2"/>
      <c r="B109" s="30">
        <v>45621</v>
      </c>
      <c r="C109" s="10" t="s">
        <v>2080</v>
      </c>
      <c r="D109" s="10" t="s">
        <v>2872</v>
      </c>
      <c r="E109" s="125" t="s">
        <v>588</v>
      </c>
      <c r="F109" s="54"/>
      <c r="G109" s="10" t="s">
        <v>484</v>
      </c>
      <c r="H109" s="10">
        <v>100</v>
      </c>
      <c r="I109" s="10" t="s">
        <v>14</v>
      </c>
      <c r="J109" s="10">
        <v>100</v>
      </c>
      <c r="K109" s="10" t="s">
        <v>1918</v>
      </c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>
      <c r="A110" s="2"/>
      <c r="B110" s="30">
        <v>45621</v>
      </c>
      <c r="C110" s="10" t="s">
        <v>2873</v>
      </c>
      <c r="D110" s="10" t="s">
        <v>2874</v>
      </c>
      <c r="E110" s="125" t="s">
        <v>453</v>
      </c>
      <c r="F110" s="54"/>
      <c r="G110" s="10" t="s">
        <v>515</v>
      </c>
      <c r="H110" s="10">
        <v>120</v>
      </c>
      <c r="I110" s="10">
        <v>99</v>
      </c>
      <c r="J110" s="10">
        <v>219</v>
      </c>
      <c r="K110" s="10" t="s">
        <v>2657</v>
      </c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>
      <c r="A111" s="2"/>
      <c r="B111" s="30">
        <v>45621</v>
      </c>
      <c r="C111" s="10" t="s">
        <v>2685</v>
      </c>
      <c r="D111" s="10" t="s">
        <v>2875</v>
      </c>
      <c r="E111" s="125" t="s">
        <v>446</v>
      </c>
      <c r="F111" s="54"/>
      <c r="G111" s="10" t="s">
        <v>2876</v>
      </c>
      <c r="H111" s="10">
        <v>114.5</v>
      </c>
      <c r="I111" s="10"/>
      <c r="J111" s="10">
        <v>229</v>
      </c>
      <c r="K111" s="10" t="s">
        <v>449</v>
      </c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>
      <c r="A112" s="2"/>
      <c r="B112" s="30">
        <v>45621</v>
      </c>
      <c r="C112" s="10" t="s">
        <v>2724</v>
      </c>
      <c r="D112" s="10" t="s">
        <v>2877</v>
      </c>
      <c r="E112" s="125" t="s">
        <v>453</v>
      </c>
      <c r="F112" s="54"/>
      <c r="G112" s="10" t="s">
        <v>2732</v>
      </c>
      <c r="H112" s="10">
        <v>120</v>
      </c>
      <c r="I112" s="10"/>
      <c r="J112" s="10">
        <v>229</v>
      </c>
      <c r="K112" s="10" t="s">
        <v>2657</v>
      </c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>
      <c r="A113" s="2"/>
      <c r="B113" s="201">
        <v>45622</v>
      </c>
      <c r="C113" s="202" t="s">
        <v>2878</v>
      </c>
      <c r="D113" s="202" t="s">
        <v>2879</v>
      </c>
      <c r="E113" s="89" t="s">
        <v>588</v>
      </c>
      <c r="F113" s="71"/>
      <c r="G113" s="202" t="s">
        <v>531</v>
      </c>
      <c r="H113" s="202">
        <v>100</v>
      </c>
      <c r="I113" s="202" t="s">
        <v>14</v>
      </c>
      <c r="J113" s="202">
        <v>100</v>
      </c>
      <c r="K113" s="202" t="s">
        <v>2657</v>
      </c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>
      <c r="A114" s="2"/>
      <c r="B114" s="201">
        <v>45622</v>
      </c>
      <c r="C114" s="202" t="s">
        <v>2880</v>
      </c>
      <c r="D114" s="202">
        <v>920230532</v>
      </c>
      <c r="E114" s="89" t="s">
        <v>446</v>
      </c>
      <c r="F114" s="71"/>
      <c r="G114" s="202" t="s">
        <v>2774</v>
      </c>
      <c r="H114" s="202">
        <v>125</v>
      </c>
      <c r="I114" s="202">
        <v>124</v>
      </c>
      <c r="J114" s="202">
        <v>249</v>
      </c>
      <c r="K114" s="202" t="s">
        <v>2657</v>
      </c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>
      <c r="A115" s="2"/>
      <c r="B115" s="201">
        <v>45622</v>
      </c>
      <c r="C115" s="202" t="s">
        <v>2881</v>
      </c>
      <c r="D115" s="202">
        <v>980690799</v>
      </c>
      <c r="E115" s="89" t="s">
        <v>453</v>
      </c>
      <c r="F115" s="71"/>
      <c r="G115" s="202" t="s">
        <v>623</v>
      </c>
      <c r="H115" s="202">
        <v>70</v>
      </c>
      <c r="I115" s="202"/>
      <c r="J115" s="202">
        <v>70</v>
      </c>
      <c r="K115" s="202" t="s">
        <v>2657</v>
      </c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>
      <c r="A116" s="2"/>
      <c r="B116" s="201">
        <v>45622</v>
      </c>
      <c r="C116" s="202" t="s">
        <v>2882</v>
      </c>
      <c r="D116" s="202" t="s">
        <v>547</v>
      </c>
      <c r="E116" s="89" t="s">
        <v>446</v>
      </c>
      <c r="F116" s="71"/>
      <c r="G116" s="202" t="s">
        <v>2741</v>
      </c>
      <c r="H116" s="202">
        <v>75</v>
      </c>
      <c r="I116" s="202">
        <v>75</v>
      </c>
      <c r="J116" s="202">
        <v>150</v>
      </c>
      <c r="K116" s="202" t="s">
        <v>480</v>
      </c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>
      <c r="A117" s="2"/>
      <c r="B117" s="201">
        <v>45622</v>
      </c>
      <c r="C117" s="202" t="s">
        <v>2883</v>
      </c>
      <c r="D117" s="202" t="s">
        <v>2884</v>
      </c>
      <c r="E117" s="89" t="s">
        <v>483</v>
      </c>
      <c r="F117" s="71"/>
      <c r="G117" s="202" t="s">
        <v>531</v>
      </c>
      <c r="H117" s="202">
        <v>300</v>
      </c>
      <c r="I117" s="202" t="s">
        <v>14</v>
      </c>
      <c r="J117" s="202">
        <v>300</v>
      </c>
      <c r="K117" s="202" t="s">
        <v>1918</v>
      </c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>
      <c r="A118" s="2"/>
      <c r="B118" s="201">
        <v>45622</v>
      </c>
      <c r="C118" s="202" t="s">
        <v>2885</v>
      </c>
      <c r="D118" s="71" t="s">
        <v>2886</v>
      </c>
      <c r="E118" s="70" t="s">
        <v>588</v>
      </c>
      <c r="F118" s="71"/>
      <c r="G118" s="193" t="s">
        <v>531</v>
      </c>
      <c r="H118" s="193">
        <v>150</v>
      </c>
      <c r="I118" s="193" t="s">
        <v>14</v>
      </c>
      <c r="J118" s="193">
        <v>150</v>
      </c>
      <c r="K118" s="193" t="s">
        <v>1918</v>
      </c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>
      <c r="A119" s="2"/>
      <c r="B119" s="201">
        <v>45622</v>
      </c>
      <c r="C119" s="193" t="s">
        <v>2843</v>
      </c>
      <c r="D119" s="71" t="s">
        <v>2844</v>
      </c>
      <c r="E119" s="70" t="s">
        <v>588</v>
      </c>
      <c r="F119" s="71"/>
      <c r="G119" s="193" t="s">
        <v>531</v>
      </c>
      <c r="H119" s="193">
        <v>90</v>
      </c>
      <c r="I119" s="193" t="s">
        <v>14</v>
      </c>
      <c r="J119" s="193">
        <v>90</v>
      </c>
      <c r="K119" s="193" t="s">
        <v>480</v>
      </c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>
      <c r="A120" s="2"/>
      <c r="B120" s="201">
        <v>45622</v>
      </c>
      <c r="C120" s="202" t="s">
        <v>2887</v>
      </c>
      <c r="D120" s="202" t="s">
        <v>2888</v>
      </c>
      <c r="E120" s="89" t="s">
        <v>453</v>
      </c>
      <c r="F120" s="71"/>
      <c r="G120" s="202" t="s">
        <v>580</v>
      </c>
      <c r="H120" s="202">
        <v>300</v>
      </c>
      <c r="I120" s="202">
        <v>300</v>
      </c>
      <c r="J120" s="202">
        <v>600</v>
      </c>
      <c r="K120" s="202" t="s">
        <v>2657</v>
      </c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>
      <c r="A121" s="2"/>
      <c r="B121" s="201">
        <v>45622</v>
      </c>
      <c r="C121" s="202" t="s">
        <v>476</v>
      </c>
      <c r="D121" s="202">
        <v>983466131</v>
      </c>
      <c r="E121" s="89" t="s">
        <v>453</v>
      </c>
      <c r="F121" s="71"/>
      <c r="G121" s="202" t="s">
        <v>2889</v>
      </c>
      <c r="H121" s="202">
        <v>500</v>
      </c>
      <c r="I121" s="202">
        <v>499</v>
      </c>
      <c r="J121" s="202">
        <v>999</v>
      </c>
      <c r="K121" s="202" t="s">
        <v>2657</v>
      </c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>
      <c r="A122" s="2"/>
      <c r="B122" s="30">
        <v>45623</v>
      </c>
      <c r="C122" s="10" t="s">
        <v>2890</v>
      </c>
      <c r="D122" s="3">
        <v>34629045371</v>
      </c>
      <c r="E122" s="125" t="s">
        <v>483</v>
      </c>
      <c r="F122" s="54"/>
      <c r="G122" s="10" t="s">
        <v>2891</v>
      </c>
      <c r="H122" s="10">
        <v>245</v>
      </c>
      <c r="I122" s="10" t="s">
        <v>14</v>
      </c>
      <c r="J122" s="10">
        <v>245</v>
      </c>
      <c r="K122" s="10" t="s">
        <v>449</v>
      </c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>
      <c r="A123" s="2"/>
      <c r="B123" s="30">
        <v>45623</v>
      </c>
      <c r="C123" s="10" t="s">
        <v>2892</v>
      </c>
      <c r="D123" s="10" t="s">
        <v>2893</v>
      </c>
      <c r="E123" s="125" t="s">
        <v>588</v>
      </c>
      <c r="F123" s="54"/>
      <c r="G123" s="10" t="s">
        <v>531</v>
      </c>
      <c r="H123" s="10">
        <v>150</v>
      </c>
      <c r="I123" s="10" t="s">
        <v>14</v>
      </c>
      <c r="J123" s="10">
        <v>150</v>
      </c>
      <c r="K123" s="10" t="s">
        <v>1918</v>
      </c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>
      <c r="A124" s="2"/>
      <c r="B124" s="30">
        <v>45623</v>
      </c>
      <c r="C124" s="10" t="s">
        <v>2894</v>
      </c>
      <c r="D124" s="10" t="s">
        <v>2895</v>
      </c>
      <c r="E124" s="125" t="s">
        <v>588</v>
      </c>
      <c r="F124" s="54"/>
      <c r="G124" s="10" t="s">
        <v>464</v>
      </c>
      <c r="H124" s="10">
        <v>130</v>
      </c>
      <c r="I124" s="10" t="s">
        <v>14</v>
      </c>
      <c r="J124" s="10">
        <v>130</v>
      </c>
      <c r="K124" s="10" t="s">
        <v>2657</v>
      </c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>
      <c r="A125" s="2"/>
      <c r="B125" s="30">
        <v>45623</v>
      </c>
      <c r="C125" s="10" t="s">
        <v>457</v>
      </c>
      <c r="D125" s="10" t="s">
        <v>2896</v>
      </c>
      <c r="E125" s="125" t="s">
        <v>446</v>
      </c>
      <c r="F125" s="54"/>
      <c r="G125" s="10" t="s">
        <v>2832</v>
      </c>
      <c r="H125" s="10">
        <v>241.5</v>
      </c>
      <c r="I125" s="10">
        <v>103.5</v>
      </c>
      <c r="J125" s="10">
        <v>345</v>
      </c>
      <c r="K125" s="10" t="s">
        <v>2657</v>
      </c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>
      <c r="A126" s="2"/>
      <c r="B126" s="30" t="s">
        <v>2897</v>
      </c>
      <c r="C126" s="10" t="s">
        <v>2898</v>
      </c>
      <c r="D126" s="10" t="s">
        <v>2899</v>
      </c>
      <c r="E126" s="125" t="s">
        <v>588</v>
      </c>
      <c r="F126" s="54"/>
      <c r="G126" s="10" t="s">
        <v>25</v>
      </c>
      <c r="H126" s="10">
        <v>750</v>
      </c>
      <c r="I126" s="10" t="s">
        <v>14</v>
      </c>
      <c r="J126" s="10">
        <v>750</v>
      </c>
      <c r="K126" s="10" t="s">
        <v>2657</v>
      </c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>
      <c r="A127" s="2"/>
      <c r="B127" s="30" t="s">
        <v>2897</v>
      </c>
      <c r="C127" s="10" t="s">
        <v>2869</v>
      </c>
      <c r="D127" s="10" t="s">
        <v>2900</v>
      </c>
      <c r="E127" s="125" t="s">
        <v>530</v>
      </c>
      <c r="F127" s="54"/>
      <c r="G127" s="10" t="s">
        <v>531</v>
      </c>
      <c r="H127" s="10">
        <v>80</v>
      </c>
      <c r="I127" s="10" t="s">
        <v>14</v>
      </c>
      <c r="J127" s="10">
        <v>80</v>
      </c>
      <c r="K127" s="10" t="s">
        <v>480</v>
      </c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>
      <c r="A128" s="2"/>
      <c r="B128" s="30" t="s">
        <v>2897</v>
      </c>
      <c r="C128" s="10" t="s">
        <v>2901</v>
      </c>
      <c r="D128" s="10" t="s">
        <v>2902</v>
      </c>
      <c r="E128" s="125" t="s">
        <v>483</v>
      </c>
      <c r="F128" s="54"/>
      <c r="G128" s="10" t="s">
        <v>531</v>
      </c>
      <c r="H128" s="10">
        <v>195</v>
      </c>
      <c r="I128" s="10" t="s">
        <v>14</v>
      </c>
      <c r="J128" s="10">
        <v>195</v>
      </c>
      <c r="K128" s="10" t="s">
        <v>480</v>
      </c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>
      <c r="A129" s="2"/>
      <c r="B129" s="201">
        <v>45624</v>
      </c>
      <c r="C129" s="202" t="s">
        <v>2903</v>
      </c>
      <c r="D129" s="202" t="s">
        <v>2904</v>
      </c>
      <c r="E129" s="89" t="s">
        <v>453</v>
      </c>
      <c r="F129" s="71"/>
      <c r="G129" s="202" t="s">
        <v>2905</v>
      </c>
      <c r="H129" s="202">
        <v>123.5</v>
      </c>
      <c r="I129" s="202">
        <v>122.5</v>
      </c>
      <c r="J129" s="202">
        <v>246</v>
      </c>
      <c r="K129" s="202" t="s">
        <v>449</v>
      </c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>
      <c r="A130" s="2"/>
      <c r="B130" s="197">
        <v>45624</v>
      </c>
      <c r="C130" s="193" t="s">
        <v>2906</v>
      </c>
      <c r="D130" s="193" t="s">
        <v>2907</v>
      </c>
      <c r="E130" s="70" t="s">
        <v>588</v>
      </c>
      <c r="F130" s="71"/>
      <c r="G130" s="193" t="s">
        <v>484</v>
      </c>
      <c r="H130" s="193">
        <v>65</v>
      </c>
      <c r="I130" s="193" t="s">
        <v>14</v>
      </c>
      <c r="J130" s="193">
        <v>65</v>
      </c>
      <c r="K130" s="193" t="s">
        <v>2657</v>
      </c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>
      <c r="A131" s="2"/>
      <c r="B131" s="197">
        <v>45624</v>
      </c>
      <c r="C131" s="193" t="s">
        <v>2894</v>
      </c>
      <c r="D131" s="193">
        <v>930297614</v>
      </c>
      <c r="E131" s="70" t="s">
        <v>498</v>
      </c>
      <c r="F131" s="71"/>
      <c r="G131" s="193" t="s">
        <v>2732</v>
      </c>
      <c r="H131" s="193">
        <v>100</v>
      </c>
      <c r="I131" s="193"/>
      <c r="J131" s="193">
        <v>199</v>
      </c>
      <c r="K131" s="193" t="s">
        <v>2657</v>
      </c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>
      <c r="A132" s="2"/>
      <c r="B132" s="197">
        <v>45624</v>
      </c>
      <c r="C132" s="193" t="s">
        <v>607</v>
      </c>
      <c r="D132" s="193" t="s">
        <v>2908</v>
      </c>
      <c r="E132" s="70" t="s">
        <v>453</v>
      </c>
      <c r="F132" s="71"/>
      <c r="G132" s="193" t="s">
        <v>2738</v>
      </c>
      <c r="H132" s="193">
        <v>400</v>
      </c>
      <c r="I132" s="193">
        <v>400</v>
      </c>
      <c r="J132" s="193">
        <v>800</v>
      </c>
      <c r="K132" s="193" t="s">
        <v>2657</v>
      </c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>
      <c r="A133" s="2"/>
      <c r="B133" s="197">
        <v>45624</v>
      </c>
      <c r="C133" s="193" t="s">
        <v>2909</v>
      </c>
      <c r="D133" s="193">
        <v>944675509</v>
      </c>
      <c r="E133" s="70" t="s">
        <v>2910</v>
      </c>
      <c r="F133" s="71"/>
      <c r="G133" s="193" t="s">
        <v>2262</v>
      </c>
      <c r="H133" s="193">
        <v>429</v>
      </c>
      <c r="I133" s="193" t="s">
        <v>14</v>
      </c>
      <c r="J133" s="193">
        <v>429</v>
      </c>
      <c r="K133" s="193" t="s">
        <v>480</v>
      </c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>
      <c r="A134" s="2"/>
      <c r="B134" s="197">
        <v>45624</v>
      </c>
      <c r="C134" s="193" t="s">
        <v>2911</v>
      </c>
      <c r="D134" s="193" t="s">
        <v>2912</v>
      </c>
      <c r="E134" s="70" t="s">
        <v>530</v>
      </c>
      <c r="F134" s="71"/>
      <c r="G134" s="193" t="s">
        <v>2913</v>
      </c>
      <c r="H134" s="193">
        <v>130</v>
      </c>
      <c r="I134" s="193" t="s">
        <v>14</v>
      </c>
      <c r="J134" s="193">
        <v>130</v>
      </c>
      <c r="K134" s="193" t="s">
        <v>1918</v>
      </c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>
      <c r="A135" s="2"/>
      <c r="B135" s="30">
        <v>45625</v>
      </c>
      <c r="C135" s="10" t="s">
        <v>2903</v>
      </c>
      <c r="D135" s="10" t="s">
        <v>2793</v>
      </c>
      <c r="E135" s="125" t="s">
        <v>483</v>
      </c>
      <c r="F135" s="54"/>
      <c r="G135" s="10" t="s">
        <v>2914</v>
      </c>
      <c r="H135" s="10">
        <v>170</v>
      </c>
      <c r="I135" s="10">
        <v>340</v>
      </c>
      <c r="J135" s="10">
        <v>510</v>
      </c>
      <c r="K135" s="10" t="s">
        <v>480</v>
      </c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>
      <c r="A136" s="2"/>
      <c r="B136" s="30">
        <v>45625</v>
      </c>
      <c r="C136" s="10" t="s">
        <v>2915</v>
      </c>
      <c r="D136" s="10" t="s">
        <v>2916</v>
      </c>
      <c r="E136" s="125" t="s">
        <v>522</v>
      </c>
      <c r="F136" s="54"/>
      <c r="G136" s="10" t="s">
        <v>35</v>
      </c>
      <c r="H136" s="10">
        <v>50</v>
      </c>
      <c r="I136" s="10">
        <v>50</v>
      </c>
      <c r="J136" s="10">
        <v>100</v>
      </c>
      <c r="K136" s="10" t="s">
        <v>1918</v>
      </c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>
      <c r="A137" s="2"/>
      <c r="B137" s="30">
        <v>45625</v>
      </c>
      <c r="C137" s="10" t="s">
        <v>2917</v>
      </c>
      <c r="D137" s="10" t="s">
        <v>2918</v>
      </c>
      <c r="E137" s="125" t="s">
        <v>498</v>
      </c>
      <c r="F137" s="54"/>
      <c r="G137" s="10" t="s">
        <v>515</v>
      </c>
      <c r="H137" s="10">
        <v>90</v>
      </c>
      <c r="I137" s="10">
        <v>89</v>
      </c>
      <c r="J137" s="10">
        <v>179</v>
      </c>
      <c r="K137" s="10" t="s">
        <v>1918</v>
      </c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>
      <c r="A138" s="2"/>
      <c r="B138" s="30">
        <v>45625</v>
      </c>
      <c r="C138" s="10" t="s">
        <v>2919</v>
      </c>
      <c r="D138" s="10" t="s">
        <v>2920</v>
      </c>
      <c r="E138" s="125" t="s">
        <v>483</v>
      </c>
      <c r="F138" s="54"/>
      <c r="G138" s="10" t="s">
        <v>2921</v>
      </c>
      <c r="H138" s="10">
        <v>245</v>
      </c>
      <c r="I138" s="10" t="s">
        <v>14</v>
      </c>
      <c r="J138" s="10">
        <v>245</v>
      </c>
      <c r="K138" s="10" t="s">
        <v>1918</v>
      </c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>
      <c r="A139" s="2"/>
      <c r="B139" s="30">
        <v>45625</v>
      </c>
      <c r="C139" s="10" t="s">
        <v>2922</v>
      </c>
      <c r="D139" s="203" t="s">
        <v>2923</v>
      </c>
      <c r="E139" s="125" t="s">
        <v>498</v>
      </c>
      <c r="F139" s="54"/>
      <c r="G139" s="10" t="s">
        <v>253</v>
      </c>
      <c r="H139" s="10">
        <v>84.5</v>
      </c>
      <c r="I139" s="10">
        <v>84.5</v>
      </c>
      <c r="J139" s="10">
        <v>169</v>
      </c>
      <c r="K139" s="10" t="s">
        <v>1918</v>
      </c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>
        <v>160</v>
      </c>
    </row>
    <row r="140" spans="1:26">
      <c r="A140" s="2"/>
      <c r="B140" s="30">
        <v>45625</v>
      </c>
      <c r="C140" s="10" t="s">
        <v>2924</v>
      </c>
      <c r="D140" s="10" t="s">
        <v>2925</v>
      </c>
      <c r="E140" s="125" t="s">
        <v>483</v>
      </c>
      <c r="F140" s="54"/>
      <c r="G140" s="10" t="s">
        <v>2926</v>
      </c>
      <c r="H140" s="10">
        <v>270</v>
      </c>
      <c r="I140" s="10" t="s">
        <v>14</v>
      </c>
      <c r="J140" s="10">
        <v>270</v>
      </c>
      <c r="K140" s="10" t="s">
        <v>2657</v>
      </c>
      <c r="L140" s="2"/>
      <c r="M140" s="2">
        <v>6.5</v>
      </c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>
      <c r="A141" s="2"/>
      <c r="B141" s="30">
        <v>45625</v>
      </c>
      <c r="C141" s="10" t="s">
        <v>1867</v>
      </c>
      <c r="D141" s="10" t="s">
        <v>2927</v>
      </c>
      <c r="E141" s="125" t="s">
        <v>522</v>
      </c>
      <c r="F141" s="54"/>
      <c r="G141" s="10" t="s">
        <v>2928</v>
      </c>
      <c r="H141" s="10">
        <v>273</v>
      </c>
      <c r="I141" s="10">
        <v>117</v>
      </c>
      <c r="J141" s="10">
        <v>390</v>
      </c>
      <c r="K141" s="10" t="s">
        <v>1918</v>
      </c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>
      <c r="A142" s="2"/>
      <c r="B142" s="30">
        <v>45625</v>
      </c>
      <c r="C142" s="10" t="s">
        <v>786</v>
      </c>
      <c r="D142" s="10" t="s">
        <v>2929</v>
      </c>
      <c r="E142" s="125" t="s">
        <v>522</v>
      </c>
      <c r="F142" s="54"/>
      <c r="G142" s="10" t="s">
        <v>2928</v>
      </c>
      <c r="H142" s="10">
        <v>245</v>
      </c>
      <c r="I142" s="10">
        <v>245</v>
      </c>
      <c r="J142" s="10">
        <v>490</v>
      </c>
      <c r="K142" s="10" t="s">
        <v>1918</v>
      </c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>
      <c r="A143" s="2"/>
      <c r="B143" s="30">
        <v>45625</v>
      </c>
      <c r="C143" s="10" t="s">
        <v>786</v>
      </c>
      <c r="D143" s="10" t="s">
        <v>2930</v>
      </c>
      <c r="E143" s="125" t="s">
        <v>453</v>
      </c>
      <c r="F143" s="54"/>
      <c r="G143" s="10" t="s">
        <v>503</v>
      </c>
      <c r="H143" s="10">
        <v>85</v>
      </c>
      <c r="I143" s="10" t="s">
        <v>14</v>
      </c>
      <c r="J143" s="10">
        <v>85</v>
      </c>
      <c r="K143" s="10" t="s">
        <v>1918</v>
      </c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>
      <c r="A144" s="2"/>
      <c r="B144" s="197">
        <v>45626</v>
      </c>
      <c r="C144" s="193" t="s">
        <v>2931</v>
      </c>
      <c r="D144" s="193">
        <v>982876029</v>
      </c>
      <c r="E144" s="70" t="s">
        <v>588</v>
      </c>
      <c r="F144" s="71"/>
      <c r="G144" s="193" t="s">
        <v>484</v>
      </c>
      <c r="H144" s="193">
        <v>270</v>
      </c>
      <c r="I144" s="193" t="s">
        <v>14</v>
      </c>
      <c r="J144" s="193">
        <v>270</v>
      </c>
      <c r="K144" s="193" t="s">
        <v>1918</v>
      </c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>
      <c r="A145" s="2"/>
      <c r="B145" s="197">
        <v>45626</v>
      </c>
      <c r="C145" s="193" t="s">
        <v>2906</v>
      </c>
      <c r="D145" s="71" t="s">
        <v>2844</v>
      </c>
      <c r="E145" s="70" t="s">
        <v>588</v>
      </c>
      <c r="F145" s="71"/>
      <c r="G145" s="193" t="s">
        <v>464</v>
      </c>
      <c r="H145" s="193">
        <v>65</v>
      </c>
      <c r="I145" s="193" t="s">
        <v>14</v>
      </c>
      <c r="J145" s="193">
        <v>65</v>
      </c>
      <c r="K145" s="193" t="s">
        <v>480</v>
      </c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>
      <c r="A146" s="2"/>
      <c r="B146" s="197">
        <v>45626</v>
      </c>
      <c r="C146" s="193" t="s">
        <v>2685</v>
      </c>
      <c r="D146" s="193" t="s">
        <v>2932</v>
      </c>
      <c r="E146" s="70" t="s">
        <v>453</v>
      </c>
      <c r="F146" s="71"/>
      <c r="G146" s="193" t="s">
        <v>623</v>
      </c>
      <c r="H146" s="193">
        <v>80</v>
      </c>
      <c r="I146" s="193" t="s">
        <v>14</v>
      </c>
      <c r="J146" s="193">
        <v>80</v>
      </c>
      <c r="K146" s="193" t="s">
        <v>2657</v>
      </c>
      <c r="L146" s="2"/>
      <c r="M146" s="2"/>
      <c r="N146" s="7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>
      <c r="A147" s="2"/>
      <c r="B147" s="197">
        <v>45626</v>
      </c>
      <c r="C147" s="193" t="s">
        <v>2933</v>
      </c>
      <c r="D147" s="193" t="s">
        <v>2934</v>
      </c>
      <c r="E147" s="70" t="s">
        <v>483</v>
      </c>
      <c r="F147" s="71"/>
      <c r="G147" s="193" t="s">
        <v>484</v>
      </c>
      <c r="H147" s="193">
        <v>90</v>
      </c>
      <c r="I147" s="193" t="s">
        <v>14</v>
      </c>
      <c r="J147" s="193">
        <v>90</v>
      </c>
      <c r="K147" s="193" t="s">
        <v>1918</v>
      </c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>
      <c r="A148" s="2"/>
      <c r="B148" s="197">
        <v>45626</v>
      </c>
      <c r="C148" s="193" t="s">
        <v>2935</v>
      </c>
      <c r="D148" s="193">
        <v>998743969</v>
      </c>
      <c r="E148" s="70" t="s">
        <v>498</v>
      </c>
      <c r="F148" s="71"/>
      <c r="G148" s="193" t="s">
        <v>2936</v>
      </c>
      <c r="H148" s="193">
        <v>100</v>
      </c>
      <c r="I148" s="193">
        <v>100</v>
      </c>
      <c r="J148" s="193">
        <v>200</v>
      </c>
      <c r="K148" s="193" t="s">
        <v>2657</v>
      </c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>
      <c r="A149" s="2"/>
      <c r="B149" s="197">
        <v>45626</v>
      </c>
      <c r="C149" s="193" t="s">
        <v>2937</v>
      </c>
      <c r="D149" s="193" t="s">
        <v>2938</v>
      </c>
      <c r="E149" s="70" t="s">
        <v>522</v>
      </c>
      <c r="F149" s="71"/>
      <c r="G149" s="193" t="s">
        <v>2729</v>
      </c>
      <c r="H149" s="193">
        <v>195</v>
      </c>
      <c r="I149" s="193">
        <v>195</v>
      </c>
      <c r="J149" s="193">
        <v>390</v>
      </c>
      <c r="K149" s="193" t="s">
        <v>2657</v>
      </c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>
      <c r="A150" s="6"/>
      <c r="B150" s="204">
        <v>45628</v>
      </c>
      <c r="C150" s="13" t="s">
        <v>2939</v>
      </c>
      <c r="D150" s="13" t="s">
        <v>2940</v>
      </c>
      <c r="E150" s="205" t="s">
        <v>446</v>
      </c>
      <c r="F150" s="206" t="s">
        <v>519</v>
      </c>
      <c r="G150" s="13" t="s">
        <v>623</v>
      </c>
      <c r="H150" s="13">
        <v>80</v>
      </c>
      <c r="I150" s="13" t="s">
        <v>14</v>
      </c>
      <c r="J150" s="13">
        <v>80</v>
      </c>
      <c r="K150" s="13" t="s">
        <v>1918</v>
      </c>
      <c r="L150" s="2"/>
      <c r="M150" s="2"/>
      <c r="N150" s="2"/>
      <c r="O150" s="2"/>
      <c r="P150" s="2"/>
      <c r="Q150" s="6"/>
      <c r="R150" s="6"/>
      <c r="S150" s="6"/>
      <c r="T150" s="6"/>
      <c r="U150" s="6"/>
      <c r="V150" s="6"/>
      <c r="W150" s="6"/>
      <c r="X150" s="6"/>
      <c r="Y150" s="6"/>
      <c r="Z150" s="6"/>
    </row>
    <row r="151" spans="1:26">
      <c r="A151" s="6"/>
      <c r="B151" s="5">
        <v>45628</v>
      </c>
      <c r="C151" s="3" t="s">
        <v>2941</v>
      </c>
      <c r="D151" s="3" t="s">
        <v>2942</v>
      </c>
      <c r="E151" s="20" t="s">
        <v>446</v>
      </c>
      <c r="F151" s="54" t="s">
        <v>447</v>
      </c>
      <c r="G151" s="3" t="s">
        <v>515</v>
      </c>
      <c r="H151" s="3">
        <v>104.5</v>
      </c>
      <c r="I151" s="3">
        <v>104.5</v>
      </c>
      <c r="J151" s="3">
        <v>209</v>
      </c>
      <c r="K151" s="3" t="s">
        <v>449</v>
      </c>
      <c r="L151" s="6"/>
      <c r="M151" s="6"/>
      <c r="N151" s="6"/>
      <c r="O151" s="6"/>
      <c r="P151" s="6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>
      <c r="A152" s="6"/>
      <c r="B152" s="5">
        <v>45628</v>
      </c>
      <c r="C152" s="3" t="s">
        <v>2885</v>
      </c>
      <c r="D152" s="54" t="s">
        <v>2886</v>
      </c>
      <c r="E152" s="20" t="s">
        <v>588</v>
      </c>
      <c r="F152" s="54" t="s">
        <v>519</v>
      </c>
      <c r="G152" s="3" t="s">
        <v>531</v>
      </c>
      <c r="H152" s="3">
        <v>150</v>
      </c>
      <c r="I152" s="3" t="s">
        <v>14</v>
      </c>
      <c r="J152" s="3">
        <v>150</v>
      </c>
      <c r="K152" s="3" t="s">
        <v>480</v>
      </c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>
      <c r="A153" s="6"/>
      <c r="B153" s="5">
        <v>45628</v>
      </c>
      <c r="C153" s="3" t="s">
        <v>2943</v>
      </c>
      <c r="D153" s="3">
        <v>949174211</v>
      </c>
      <c r="E153" s="20" t="s">
        <v>498</v>
      </c>
      <c r="F153" s="54" t="s">
        <v>519</v>
      </c>
      <c r="G153" s="3" t="s">
        <v>2686</v>
      </c>
      <c r="H153" s="3">
        <v>100</v>
      </c>
      <c r="I153" s="3">
        <v>100</v>
      </c>
      <c r="J153" s="3">
        <v>200</v>
      </c>
      <c r="K153" s="3" t="s">
        <v>2657</v>
      </c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>
      <c r="A154" s="6"/>
      <c r="B154" s="5">
        <v>45628</v>
      </c>
      <c r="C154" s="3" t="s">
        <v>2944</v>
      </c>
      <c r="D154" s="3" t="s">
        <v>2945</v>
      </c>
      <c r="E154" s="20" t="s">
        <v>588</v>
      </c>
      <c r="F154" s="54" t="s">
        <v>447</v>
      </c>
      <c r="G154" s="3" t="s">
        <v>464</v>
      </c>
      <c r="H154" s="3">
        <v>140</v>
      </c>
      <c r="I154" s="3" t="s">
        <v>14</v>
      </c>
      <c r="J154" s="3">
        <v>140</v>
      </c>
      <c r="K154" s="3" t="s">
        <v>2657</v>
      </c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>
      <c r="A155" s="6"/>
      <c r="B155" s="5">
        <v>45628</v>
      </c>
      <c r="C155" s="3" t="s">
        <v>2946</v>
      </c>
      <c r="D155" s="3" t="s">
        <v>2947</v>
      </c>
      <c r="E155" s="20" t="s">
        <v>498</v>
      </c>
      <c r="F155" s="54" t="s">
        <v>519</v>
      </c>
      <c r="G155" s="3" t="s">
        <v>2686</v>
      </c>
      <c r="H155" s="3">
        <v>150</v>
      </c>
      <c r="I155" s="3">
        <v>149</v>
      </c>
      <c r="J155" s="3">
        <v>299</v>
      </c>
      <c r="K155" s="3" t="s">
        <v>2657</v>
      </c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>
      <c r="A156" s="6"/>
      <c r="B156" s="5">
        <v>45628</v>
      </c>
      <c r="C156" s="8" t="s">
        <v>2736</v>
      </c>
      <c r="D156" s="8" t="s">
        <v>2948</v>
      </c>
      <c r="E156" s="207" t="s">
        <v>522</v>
      </c>
      <c r="F156" s="208" t="s">
        <v>519</v>
      </c>
      <c r="G156" s="8" t="s">
        <v>2729</v>
      </c>
      <c r="H156" s="8">
        <v>175</v>
      </c>
      <c r="I156" s="3" t="s">
        <v>14</v>
      </c>
      <c r="J156" s="3">
        <v>175</v>
      </c>
      <c r="K156" s="3" t="s">
        <v>2657</v>
      </c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>
      <c r="A157" s="6"/>
      <c r="B157" s="5">
        <v>45628</v>
      </c>
      <c r="C157" s="3" t="s">
        <v>2949</v>
      </c>
      <c r="D157" s="3" t="s">
        <v>2950</v>
      </c>
      <c r="E157" s="20" t="s">
        <v>502</v>
      </c>
      <c r="F157" s="54" t="s">
        <v>447</v>
      </c>
      <c r="G157" s="3" t="s">
        <v>623</v>
      </c>
      <c r="H157" s="3">
        <v>70</v>
      </c>
      <c r="I157" s="3" t="s">
        <v>14</v>
      </c>
      <c r="J157" s="3">
        <v>70</v>
      </c>
      <c r="K157" s="3" t="s">
        <v>2657</v>
      </c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>
      <c r="A158" s="6"/>
      <c r="B158" s="209">
        <v>45628</v>
      </c>
      <c r="C158" s="3" t="s">
        <v>2951</v>
      </c>
      <c r="D158" s="3" t="s">
        <v>2952</v>
      </c>
      <c r="E158" s="20" t="s">
        <v>2910</v>
      </c>
      <c r="F158" s="54" t="s">
        <v>519</v>
      </c>
      <c r="G158" s="3" t="s">
        <v>484</v>
      </c>
      <c r="H158" s="3">
        <v>55</v>
      </c>
      <c r="I158" s="3">
        <v>55</v>
      </c>
      <c r="J158" s="3">
        <v>110</v>
      </c>
      <c r="K158" s="3" t="s">
        <v>1918</v>
      </c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>
      <c r="A159" s="6"/>
      <c r="B159" s="209">
        <v>45628</v>
      </c>
      <c r="C159" s="3" t="s">
        <v>2018</v>
      </c>
      <c r="D159" s="3" t="s">
        <v>2953</v>
      </c>
      <c r="E159" s="20" t="s">
        <v>446</v>
      </c>
      <c r="F159" s="54" t="s">
        <v>447</v>
      </c>
      <c r="G159" s="3" t="s">
        <v>503</v>
      </c>
      <c r="H159" s="3">
        <v>60</v>
      </c>
      <c r="I159" s="3" t="s">
        <v>14</v>
      </c>
      <c r="J159" s="3">
        <v>60</v>
      </c>
      <c r="K159" s="3" t="s">
        <v>1918</v>
      </c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>
      <c r="A160" s="6"/>
      <c r="B160" s="209">
        <v>45628</v>
      </c>
      <c r="C160" s="3" t="s">
        <v>2931</v>
      </c>
      <c r="D160" s="3" t="s">
        <v>2954</v>
      </c>
      <c r="E160" s="20" t="s">
        <v>588</v>
      </c>
      <c r="F160" s="54" t="s">
        <v>447</v>
      </c>
      <c r="G160" s="3" t="s">
        <v>2955</v>
      </c>
      <c r="H160" s="3">
        <v>429</v>
      </c>
      <c r="I160" s="3" t="s">
        <v>14</v>
      </c>
      <c r="J160" s="3">
        <v>429</v>
      </c>
      <c r="K160" s="3" t="s">
        <v>1918</v>
      </c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>
      <c r="A161" s="6"/>
      <c r="B161" s="209" t="s">
        <v>2956</v>
      </c>
      <c r="C161" s="3" t="s">
        <v>2957</v>
      </c>
      <c r="D161" s="3" t="s">
        <v>2958</v>
      </c>
      <c r="E161" s="20" t="s">
        <v>588</v>
      </c>
      <c r="F161" s="54" t="s">
        <v>447</v>
      </c>
      <c r="G161" s="3" t="s">
        <v>531</v>
      </c>
      <c r="H161" s="3">
        <v>90</v>
      </c>
      <c r="I161" s="3" t="s">
        <v>14</v>
      </c>
      <c r="J161" s="3">
        <v>90</v>
      </c>
      <c r="K161" s="3" t="s">
        <v>2657</v>
      </c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>
      <c r="A162" s="6"/>
      <c r="B162" s="209">
        <v>45628</v>
      </c>
      <c r="C162" s="3" t="s">
        <v>2959</v>
      </c>
      <c r="D162" s="3" t="s">
        <v>2960</v>
      </c>
      <c r="E162" s="20" t="s">
        <v>498</v>
      </c>
      <c r="F162" s="54" t="s">
        <v>447</v>
      </c>
      <c r="G162" s="3" t="s">
        <v>2686</v>
      </c>
      <c r="H162" s="3">
        <v>100</v>
      </c>
      <c r="I162" s="3">
        <v>149</v>
      </c>
      <c r="J162" s="3">
        <v>249</v>
      </c>
      <c r="K162" s="3" t="s">
        <v>1918</v>
      </c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>
      <c r="A163" s="6"/>
      <c r="B163" s="209">
        <v>45628</v>
      </c>
      <c r="C163" s="3" t="s">
        <v>2869</v>
      </c>
      <c r="D163" s="3" t="s">
        <v>2900</v>
      </c>
      <c r="E163" s="20" t="s">
        <v>530</v>
      </c>
      <c r="F163" s="54" t="s">
        <v>14</v>
      </c>
      <c r="G163" s="3" t="s">
        <v>531</v>
      </c>
      <c r="H163" s="3">
        <v>80</v>
      </c>
      <c r="I163" s="3" t="s">
        <v>14</v>
      </c>
      <c r="J163" s="3">
        <v>80</v>
      </c>
      <c r="K163" s="3" t="s">
        <v>480</v>
      </c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>
      <c r="A164" s="2"/>
      <c r="B164" s="209">
        <v>45628</v>
      </c>
      <c r="C164" s="3" t="s">
        <v>2961</v>
      </c>
      <c r="D164" s="3" t="s">
        <v>2962</v>
      </c>
      <c r="E164" s="20" t="s">
        <v>502</v>
      </c>
      <c r="F164" s="54" t="s">
        <v>447</v>
      </c>
      <c r="G164" s="3" t="s">
        <v>503</v>
      </c>
      <c r="H164" s="3">
        <v>25</v>
      </c>
      <c r="I164" s="3"/>
      <c r="J164" s="3">
        <v>25</v>
      </c>
      <c r="K164" s="3" t="s">
        <v>449</v>
      </c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>
      <c r="A165" s="2"/>
      <c r="B165" s="195">
        <v>45629</v>
      </c>
      <c r="C165" s="193" t="s">
        <v>2906</v>
      </c>
      <c r="D165" s="193">
        <v>991911369</v>
      </c>
      <c r="E165" s="70" t="s">
        <v>522</v>
      </c>
      <c r="F165" s="71" t="s">
        <v>447</v>
      </c>
      <c r="G165" s="193" t="s">
        <v>2963</v>
      </c>
      <c r="H165" s="193">
        <v>419.3</v>
      </c>
      <c r="I165" s="193">
        <v>179.7</v>
      </c>
      <c r="J165" s="193">
        <v>599</v>
      </c>
      <c r="K165" s="193" t="s">
        <v>1918</v>
      </c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>
      <c r="A166" s="2"/>
      <c r="B166" s="195">
        <v>45629</v>
      </c>
      <c r="C166" s="193" t="s">
        <v>2964</v>
      </c>
      <c r="D166" s="193" t="s">
        <v>2965</v>
      </c>
      <c r="E166" s="70" t="s">
        <v>462</v>
      </c>
      <c r="F166" s="71" t="s">
        <v>447</v>
      </c>
      <c r="G166" s="193" t="s">
        <v>2966</v>
      </c>
      <c r="H166" s="193">
        <v>150</v>
      </c>
      <c r="I166" s="193" t="s">
        <v>14</v>
      </c>
      <c r="J166" s="193">
        <v>150</v>
      </c>
      <c r="K166" s="193" t="s">
        <v>1918</v>
      </c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>
      <c r="A167" s="2"/>
      <c r="B167" s="195">
        <v>45629</v>
      </c>
      <c r="C167" s="193" t="s">
        <v>2967</v>
      </c>
      <c r="D167" s="71" t="s">
        <v>2968</v>
      </c>
      <c r="E167" s="70" t="s">
        <v>453</v>
      </c>
      <c r="F167" s="71" t="s">
        <v>2969</v>
      </c>
      <c r="G167" s="193" t="s">
        <v>503</v>
      </c>
      <c r="H167" s="193">
        <v>95</v>
      </c>
      <c r="I167" s="193" t="s">
        <v>14</v>
      </c>
      <c r="J167" s="193">
        <v>95</v>
      </c>
      <c r="K167" s="193" t="s">
        <v>1918</v>
      </c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>
      <c r="A168" s="2"/>
      <c r="B168" s="195">
        <v>45629</v>
      </c>
      <c r="C168" s="193" t="s">
        <v>2970</v>
      </c>
      <c r="D168" s="193" t="s">
        <v>2953</v>
      </c>
      <c r="E168" s="70" t="s">
        <v>446</v>
      </c>
      <c r="F168" s="71" t="s">
        <v>447</v>
      </c>
      <c r="G168" s="193" t="s">
        <v>2971</v>
      </c>
      <c r="H168" s="193">
        <v>520</v>
      </c>
      <c r="I168" s="193" t="s">
        <v>14</v>
      </c>
      <c r="J168" s="193">
        <v>1040</v>
      </c>
      <c r="K168" s="193" t="s">
        <v>1918</v>
      </c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>
      <c r="A169" s="2"/>
      <c r="B169" s="195">
        <v>45629</v>
      </c>
      <c r="C169" s="193" t="s">
        <v>2972</v>
      </c>
      <c r="D169" s="193" t="s">
        <v>2725</v>
      </c>
      <c r="E169" s="70" t="s">
        <v>588</v>
      </c>
      <c r="F169" s="71" t="s">
        <v>14</v>
      </c>
      <c r="G169" s="193" t="s">
        <v>484</v>
      </c>
      <c r="H169" s="193">
        <v>170</v>
      </c>
      <c r="I169" s="193" t="s">
        <v>14</v>
      </c>
      <c r="J169" s="193">
        <v>170</v>
      </c>
      <c r="K169" s="193" t="s">
        <v>480</v>
      </c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>
      <c r="A170" s="2"/>
      <c r="B170" s="195">
        <v>45629</v>
      </c>
      <c r="C170" s="193" t="s">
        <v>2973</v>
      </c>
      <c r="D170" s="193">
        <v>983084412</v>
      </c>
      <c r="E170" s="70" t="s">
        <v>446</v>
      </c>
      <c r="F170" s="71" t="s">
        <v>447</v>
      </c>
      <c r="G170" s="193" t="s">
        <v>503</v>
      </c>
      <c r="H170" s="193">
        <v>80</v>
      </c>
      <c r="I170" s="193" t="s">
        <v>14</v>
      </c>
      <c r="J170" s="193">
        <v>80</v>
      </c>
      <c r="K170" s="193" t="s">
        <v>2657</v>
      </c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>
      <c r="A171" s="2"/>
      <c r="B171" s="5">
        <v>45630</v>
      </c>
      <c r="C171" s="8" t="s">
        <v>2974</v>
      </c>
      <c r="D171" s="8" t="s">
        <v>2975</v>
      </c>
      <c r="E171" s="207" t="s">
        <v>498</v>
      </c>
      <c r="F171" s="208" t="s">
        <v>447</v>
      </c>
      <c r="G171" s="8" t="s">
        <v>2976</v>
      </c>
      <c r="H171" s="8">
        <v>120</v>
      </c>
      <c r="I171" s="3" t="s">
        <v>14</v>
      </c>
      <c r="J171" s="3">
        <v>120</v>
      </c>
      <c r="K171" s="3" t="s">
        <v>1918</v>
      </c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>
      <c r="A172" s="2"/>
      <c r="B172" s="9">
        <v>45630</v>
      </c>
      <c r="C172" s="10" t="s">
        <v>2977</v>
      </c>
      <c r="D172" s="10">
        <v>987606341</v>
      </c>
      <c r="E172" s="125" t="s">
        <v>453</v>
      </c>
      <c r="F172" s="54" t="s">
        <v>447</v>
      </c>
      <c r="G172" s="10" t="s">
        <v>623</v>
      </c>
      <c r="H172" s="10">
        <v>90</v>
      </c>
      <c r="I172" s="10" t="s">
        <v>14</v>
      </c>
      <c r="J172" s="10">
        <v>90</v>
      </c>
      <c r="K172" s="10" t="s">
        <v>2657</v>
      </c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>
      <c r="A173" s="2"/>
      <c r="B173" s="9">
        <v>45630</v>
      </c>
      <c r="C173" s="10" t="s">
        <v>2978</v>
      </c>
      <c r="D173" s="10" t="s">
        <v>2979</v>
      </c>
      <c r="E173" s="125" t="s">
        <v>588</v>
      </c>
      <c r="F173" s="54" t="s">
        <v>519</v>
      </c>
      <c r="G173" s="10" t="s">
        <v>531</v>
      </c>
      <c r="H173" s="10">
        <v>90</v>
      </c>
      <c r="I173" s="10" t="s">
        <v>14</v>
      </c>
      <c r="J173" s="10">
        <v>90</v>
      </c>
      <c r="K173" s="10" t="s">
        <v>1918</v>
      </c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>
      <c r="A174" s="2"/>
      <c r="B174" s="210">
        <v>45631</v>
      </c>
      <c r="C174" s="202" t="s">
        <v>2980</v>
      </c>
      <c r="D174" s="202" t="s">
        <v>2981</v>
      </c>
      <c r="E174" s="89" t="s">
        <v>446</v>
      </c>
      <c r="F174" s="90" t="s">
        <v>447</v>
      </c>
      <c r="G174" s="202" t="s">
        <v>2816</v>
      </c>
      <c r="H174" s="202">
        <v>259</v>
      </c>
      <c r="I174" s="202" t="s">
        <v>14</v>
      </c>
      <c r="J174" s="202">
        <v>259</v>
      </c>
      <c r="K174" s="202" t="s">
        <v>449</v>
      </c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>
      <c r="A175" s="2"/>
      <c r="B175" s="210">
        <v>45631</v>
      </c>
      <c r="C175" s="202" t="s">
        <v>2982</v>
      </c>
      <c r="D175" s="211">
        <v>982656572</v>
      </c>
      <c r="E175" s="89" t="s">
        <v>453</v>
      </c>
      <c r="F175" s="90" t="s">
        <v>447</v>
      </c>
      <c r="G175" s="202" t="s">
        <v>253</v>
      </c>
      <c r="H175" s="202">
        <v>190</v>
      </c>
      <c r="I175" s="202">
        <v>189</v>
      </c>
      <c r="J175" s="202">
        <v>379</v>
      </c>
      <c r="K175" s="202" t="s">
        <v>2657</v>
      </c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>
      <c r="A176" s="2"/>
      <c r="B176" s="210">
        <v>45631</v>
      </c>
      <c r="C176" s="202" t="s">
        <v>2983</v>
      </c>
      <c r="D176" s="202" t="s">
        <v>2754</v>
      </c>
      <c r="E176" s="89" t="s">
        <v>494</v>
      </c>
      <c r="F176" s="90" t="s">
        <v>447</v>
      </c>
      <c r="G176" s="202" t="s">
        <v>2984</v>
      </c>
      <c r="H176" s="202">
        <v>720</v>
      </c>
      <c r="I176" s="202" t="s">
        <v>14</v>
      </c>
      <c r="J176" s="202">
        <v>720</v>
      </c>
      <c r="K176" s="202" t="s">
        <v>480</v>
      </c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>
      <c r="A177" s="2"/>
      <c r="B177" s="210">
        <v>45631</v>
      </c>
      <c r="C177" s="202" t="s">
        <v>2973</v>
      </c>
      <c r="D177" s="202">
        <v>983084412</v>
      </c>
      <c r="E177" s="89" t="s">
        <v>446</v>
      </c>
      <c r="F177" s="90" t="s">
        <v>447</v>
      </c>
      <c r="G177" s="202" t="s">
        <v>503</v>
      </c>
      <c r="H177" s="202">
        <v>100</v>
      </c>
      <c r="I177" s="202" t="s">
        <v>14</v>
      </c>
      <c r="J177" s="202">
        <v>100</v>
      </c>
      <c r="K177" s="202" t="s">
        <v>449</v>
      </c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>
      <c r="A178" s="2"/>
      <c r="B178" s="210">
        <v>45631</v>
      </c>
      <c r="C178" s="202" t="s">
        <v>2858</v>
      </c>
      <c r="D178" s="202" t="s">
        <v>2859</v>
      </c>
      <c r="E178" s="89" t="s">
        <v>588</v>
      </c>
      <c r="F178" s="90" t="s">
        <v>447</v>
      </c>
      <c r="G178" s="202" t="s">
        <v>464</v>
      </c>
      <c r="H178" s="202">
        <v>130</v>
      </c>
      <c r="I178" s="202" t="s">
        <v>14</v>
      </c>
      <c r="J178" s="202">
        <v>130</v>
      </c>
      <c r="K178" s="202" t="s">
        <v>480</v>
      </c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>
      <c r="A179" s="2"/>
      <c r="B179" s="210">
        <v>45631</v>
      </c>
      <c r="C179" s="202" t="s">
        <v>2985</v>
      </c>
      <c r="D179" s="202">
        <v>947894798</v>
      </c>
      <c r="E179" s="89" t="s">
        <v>453</v>
      </c>
      <c r="F179" s="90" t="s">
        <v>519</v>
      </c>
      <c r="G179" s="202" t="s">
        <v>580</v>
      </c>
      <c r="H179" s="202">
        <v>350</v>
      </c>
      <c r="I179" s="202"/>
      <c r="J179" s="202">
        <v>645</v>
      </c>
      <c r="K179" s="202" t="s">
        <v>449</v>
      </c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>
      <c r="A180" s="2"/>
      <c r="B180" s="9">
        <v>45632</v>
      </c>
      <c r="C180" s="10" t="s">
        <v>2986</v>
      </c>
      <c r="D180" s="10">
        <v>997937528</v>
      </c>
      <c r="E180" s="125" t="s">
        <v>446</v>
      </c>
      <c r="F180" s="54" t="s">
        <v>447</v>
      </c>
      <c r="G180" s="10" t="s">
        <v>503</v>
      </c>
      <c r="H180" s="3">
        <v>80</v>
      </c>
      <c r="I180" s="10" t="s">
        <v>14</v>
      </c>
      <c r="J180" s="10">
        <v>80</v>
      </c>
      <c r="K180" s="10" t="s">
        <v>2657</v>
      </c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>
      <c r="A181" s="2"/>
      <c r="B181" s="9">
        <v>45632</v>
      </c>
      <c r="C181" s="10" t="s">
        <v>2987</v>
      </c>
      <c r="D181" s="10" t="s">
        <v>2988</v>
      </c>
      <c r="E181" s="125" t="s">
        <v>498</v>
      </c>
      <c r="F181" s="54" t="s">
        <v>447</v>
      </c>
      <c r="G181" s="10" t="s">
        <v>2989</v>
      </c>
      <c r="H181" s="10">
        <v>170</v>
      </c>
      <c r="I181" s="10">
        <v>169</v>
      </c>
      <c r="J181" s="10">
        <v>339</v>
      </c>
      <c r="K181" s="10" t="s">
        <v>1918</v>
      </c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>
      <c r="A182" s="2"/>
      <c r="B182" s="9">
        <v>45632</v>
      </c>
      <c r="C182" s="10" t="s">
        <v>2990</v>
      </c>
      <c r="D182" s="10">
        <v>960656279</v>
      </c>
      <c r="E182" s="125" t="s">
        <v>453</v>
      </c>
      <c r="F182" s="54" t="s">
        <v>447</v>
      </c>
      <c r="G182" s="10" t="s">
        <v>2991</v>
      </c>
      <c r="H182" s="10">
        <v>100</v>
      </c>
      <c r="I182" s="10"/>
      <c r="J182" s="10">
        <v>199</v>
      </c>
      <c r="K182" s="10" t="s">
        <v>2657</v>
      </c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>
      <c r="A183" s="2"/>
      <c r="B183" s="9">
        <v>45632</v>
      </c>
      <c r="C183" s="10" t="s">
        <v>2992</v>
      </c>
      <c r="D183" s="212" t="s">
        <v>2993</v>
      </c>
      <c r="E183" s="125" t="s">
        <v>588</v>
      </c>
      <c r="F183" s="54" t="s">
        <v>447</v>
      </c>
      <c r="G183" s="10" t="s">
        <v>531</v>
      </c>
      <c r="H183" s="10">
        <v>55</v>
      </c>
      <c r="I183" s="10" t="s">
        <v>14</v>
      </c>
      <c r="J183" s="10">
        <v>55</v>
      </c>
      <c r="K183" s="10" t="s">
        <v>1918</v>
      </c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>
      <c r="A184" s="2"/>
      <c r="B184" s="195">
        <v>45633</v>
      </c>
      <c r="C184" s="193" t="s">
        <v>2944</v>
      </c>
      <c r="D184" s="193" t="s">
        <v>2945</v>
      </c>
      <c r="E184" s="70" t="s">
        <v>588</v>
      </c>
      <c r="F184" s="71" t="s">
        <v>447</v>
      </c>
      <c r="G184" s="193" t="s">
        <v>464</v>
      </c>
      <c r="H184" s="193">
        <v>140</v>
      </c>
      <c r="I184" s="193" t="s">
        <v>14</v>
      </c>
      <c r="J184" s="193">
        <v>140</v>
      </c>
      <c r="K184" s="193" t="s">
        <v>480</v>
      </c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>
      <c r="A185" s="2"/>
      <c r="B185" s="42">
        <v>45636</v>
      </c>
      <c r="C185" s="10" t="s">
        <v>2994</v>
      </c>
      <c r="D185" s="10" t="s">
        <v>2995</v>
      </c>
      <c r="E185" s="125" t="s">
        <v>453</v>
      </c>
      <c r="F185" s="54" t="s">
        <v>2969</v>
      </c>
      <c r="G185" s="10" t="s">
        <v>23</v>
      </c>
      <c r="H185" s="10">
        <v>495</v>
      </c>
      <c r="I185" s="10">
        <v>495</v>
      </c>
      <c r="J185" s="10">
        <v>990</v>
      </c>
      <c r="K185" s="10" t="s">
        <v>1918</v>
      </c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>
      <c r="A186" s="2"/>
      <c r="B186" s="42">
        <v>45636</v>
      </c>
      <c r="C186" s="10" t="s">
        <v>1296</v>
      </c>
      <c r="D186" s="10" t="s">
        <v>2996</v>
      </c>
      <c r="E186" s="125" t="s">
        <v>453</v>
      </c>
      <c r="F186" s="54" t="s">
        <v>14</v>
      </c>
      <c r="G186" s="10" t="s">
        <v>2997</v>
      </c>
      <c r="H186" s="10">
        <v>345</v>
      </c>
      <c r="I186" s="10">
        <v>345</v>
      </c>
      <c r="J186" s="10">
        <v>690</v>
      </c>
      <c r="K186" s="10" t="s">
        <v>1918</v>
      </c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>
      <c r="A187" s="2"/>
      <c r="B187" s="42">
        <v>45636</v>
      </c>
      <c r="C187" s="10" t="s">
        <v>2998</v>
      </c>
      <c r="D187" s="10" t="s">
        <v>2999</v>
      </c>
      <c r="E187" s="125" t="s">
        <v>588</v>
      </c>
      <c r="F187" s="54" t="s">
        <v>447</v>
      </c>
      <c r="G187" s="10" t="s">
        <v>484</v>
      </c>
      <c r="H187" s="10">
        <v>250</v>
      </c>
      <c r="I187" s="10" t="s">
        <v>14</v>
      </c>
      <c r="J187" s="10">
        <v>250</v>
      </c>
      <c r="K187" s="10" t="s">
        <v>1918</v>
      </c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>
      <c r="A188" s="2"/>
      <c r="B188" s="42">
        <v>45636</v>
      </c>
      <c r="C188" s="10" t="s">
        <v>3000</v>
      </c>
      <c r="D188" s="10" t="s">
        <v>3001</v>
      </c>
      <c r="E188" s="125" t="s">
        <v>502</v>
      </c>
      <c r="F188" s="54" t="s">
        <v>14</v>
      </c>
      <c r="G188" s="10" t="s">
        <v>503</v>
      </c>
      <c r="H188" s="10">
        <v>80</v>
      </c>
      <c r="I188" s="10" t="s">
        <v>14</v>
      </c>
      <c r="J188" s="10">
        <v>80</v>
      </c>
      <c r="K188" s="10" t="s">
        <v>480</v>
      </c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>
      <c r="A189" s="2"/>
      <c r="B189" s="42">
        <v>45636</v>
      </c>
      <c r="C189" s="10" t="s">
        <v>3002</v>
      </c>
      <c r="D189" s="10" t="s">
        <v>3003</v>
      </c>
      <c r="E189" s="125" t="s">
        <v>483</v>
      </c>
      <c r="F189" s="54" t="s">
        <v>447</v>
      </c>
      <c r="G189" s="10" t="s">
        <v>484</v>
      </c>
      <c r="H189" s="10">
        <v>95</v>
      </c>
      <c r="I189" s="10">
        <v>95</v>
      </c>
      <c r="J189" s="10">
        <v>190</v>
      </c>
      <c r="K189" s="10" t="s">
        <v>1918</v>
      </c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>
      <c r="A190" s="2"/>
      <c r="B190" s="42">
        <v>45636</v>
      </c>
      <c r="C190" s="10" t="s">
        <v>3004</v>
      </c>
      <c r="D190" s="10" t="s">
        <v>3005</v>
      </c>
      <c r="E190" s="125" t="s">
        <v>502</v>
      </c>
      <c r="F190" s="54" t="s">
        <v>447</v>
      </c>
      <c r="G190" s="10" t="s">
        <v>503</v>
      </c>
      <c r="H190" s="10">
        <v>80</v>
      </c>
      <c r="I190" s="10" t="s">
        <v>14</v>
      </c>
      <c r="J190" s="10">
        <v>80</v>
      </c>
      <c r="K190" s="10" t="s">
        <v>1918</v>
      </c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>
      <c r="A191" s="2"/>
      <c r="B191" s="42">
        <v>45636</v>
      </c>
      <c r="C191" s="3" t="s">
        <v>2882</v>
      </c>
      <c r="D191" s="3" t="s">
        <v>547</v>
      </c>
      <c r="E191" s="20" t="s">
        <v>446</v>
      </c>
      <c r="F191" s="54" t="s">
        <v>14</v>
      </c>
      <c r="G191" s="3" t="s">
        <v>2741</v>
      </c>
      <c r="H191" s="3">
        <v>75</v>
      </c>
      <c r="I191" s="3">
        <v>75</v>
      </c>
      <c r="J191" s="3">
        <v>150</v>
      </c>
      <c r="K191" s="3" t="s">
        <v>480</v>
      </c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>
      <c r="A192" s="2"/>
      <c r="B192" s="67">
        <v>45637</v>
      </c>
      <c r="C192" s="193" t="s">
        <v>3006</v>
      </c>
      <c r="D192" s="193" t="s">
        <v>3007</v>
      </c>
      <c r="E192" s="70" t="s">
        <v>498</v>
      </c>
      <c r="F192" s="71" t="s">
        <v>447</v>
      </c>
      <c r="G192" s="193" t="s">
        <v>2686</v>
      </c>
      <c r="H192" s="193">
        <v>200</v>
      </c>
      <c r="I192" s="193" t="s">
        <v>14</v>
      </c>
      <c r="J192" s="193">
        <v>200</v>
      </c>
      <c r="K192" s="193" t="s">
        <v>1918</v>
      </c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>
      <c r="A193" s="2"/>
      <c r="B193" s="67">
        <v>45637</v>
      </c>
      <c r="C193" s="193" t="s">
        <v>2873</v>
      </c>
      <c r="D193" s="193">
        <v>952509722</v>
      </c>
      <c r="E193" s="70" t="s">
        <v>498</v>
      </c>
      <c r="F193" s="71" t="s">
        <v>447</v>
      </c>
      <c r="G193" s="193" t="s">
        <v>2686</v>
      </c>
      <c r="H193" s="193">
        <v>259</v>
      </c>
      <c r="I193" s="193" t="s">
        <v>14</v>
      </c>
      <c r="J193" s="193">
        <v>259</v>
      </c>
      <c r="K193" s="193" t="s">
        <v>2657</v>
      </c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>
      <c r="A194" s="2"/>
      <c r="B194" s="67">
        <v>45637</v>
      </c>
      <c r="C194" s="193" t="s">
        <v>3008</v>
      </c>
      <c r="D194" s="193" t="s">
        <v>3009</v>
      </c>
      <c r="E194" s="70" t="s">
        <v>498</v>
      </c>
      <c r="F194" s="71" t="s">
        <v>447</v>
      </c>
      <c r="G194" s="193" t="s">
        <v>2686</v>
      </c>
      <c r="H194" s="193">
        <v>250</v>
      </c>
      <c r="I194" s="193">
        <v>269</v>
      </c>
      <c r="J194" s="193">
        <v>519</v>
      </c>
      <c r="K194" s="193" t="s">
        <v>1918</v>
      </c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>
      <c r="A195" s="2"/>
      <c r="B195" s="67">
        <v>45637</v>
      </c>
      <c r="C195" s="193" t="s">
        <v>2743</v>
      </c>
      <c r="D195" s="193" t="s">
        <v>3010</v>
      </c>
      <c r="E195" s="70" t="s">
        <v>483</v>
      </c>
      <c r="F195" s="71" t="s">
        <v>447</v>
      </c>
      <c r="G195" s="193" t="s">
        <v>3011</v>
      </c>
      <c r="H195" s="193">
        <v>280</v>
      </c>
      <c r="I195" s="193" t="s">
        <v>14</v>
      </c>
      <c r="J195" s="193">
        <v>280</v>
      </c>
      <c r="K195" s="193" t="s">
        <v>1918</v>
      </c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>
      <c r="A196" s="2"/>
      <c r="B196" s="30">
        <v>45638</v>
      </c>
      <c r="C196" s="10" t="s">
        <v>3012</v>
      </c>
      <c r="D196" s="10">
        <v>986589770</v>
      </c>
      <c r="E196" s="125" t="s">
        <v>453</v>
      </c>
      <c r="F196" s="54" t="s">
        <v>447</v>
      </c>
      <c r="G196" s="10" t="s">
        <v>2774</v>
      </c>
      <c r="H196" s="10">
        <v>140</v>
      </c>
      <c r="I196" s="10"/>
      <c r="J196" s="10">
        <v>279</v>
      </c>
      <c r="K196" s="10" t="s">
        <v>2657</v>
      </c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>
      <c r="A197" s="2"/>
      <c r="B197" s="30">
        <v>45638</v>
      </c>
      <c r="C197" s="10" t="s">
        <v>3013</v>
      </c>
      <c r="D197" s="10" t="s">
        <v>3014</v>
      </c>
      <c r="E197" s="125" t="s">
        <v>467</v>
      </c>
      <c r="F197" s="54" t="s">
        <v>447</v>
      </c>
      <c r="G197" s="10" t="s">
        <v>468</v>
      </c>
      <c r="H197" s="10">
        <v>290</v>
      </c>
      <c r="I197" s="10" t="s">
        <v>14</v>
      </c>
      <c r="J197" s="10">
        <v>290</v>
      </c>
      <c r="K197" s="10" t="s">
        <v>449</v>
      </c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>
      <c r="A198" s="2"/>
      <c r="B198" s="30">
        <v>45638</v>
      </c>
      <c r="C198" s="10" t="s">
        <v>2992</v>
      </c>
      <c r="D198" s="212" t="s">
        <v>2993</v>
      </c>
      <c r="E198" s="125" t="s">
        <v>588</v>
      </c>
      <c r="F198" s="54" t="s">
        <v>447</v>
      </c>
      <c r="G198" s="10" t="s">
        <v>2782</v>
      </c>
      <c r="H198" s="10">
        <v>529</v>
      </c>
      <c r="I198" s="10" t="s">
        <v>14</v>
      </c>
      <c r="J198" s="10">
        <v>529</v>
      </c>
      <c r="K198" s="10" t="s">
        <v>1918</v>
      </c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>
      <c r="A199" s="2"/>
      <c r="B199" s="30">
        <v>45638</v>
      </c>
      <c r="C199" s="10" t="s">
        <v>1914</v>
      </c>
      <c r="D199" s="10" t="s">
        <v>3015</v>
      </c>
      <c r="E199" s="125" t="s">
        <v>498</v>
      </c>
      <c r="F199" s="54" t="s">
        <v>447</v>
      </c>
      <c r="G199" s="10" t="s">
        <v>2989</v>
      </c>
      <c r="H199" s="10">
        <v>300</v>
      </c>
      <c r="I199" s="10">
        <v>299</v>
      </c>
      <c r="J199" s="10">
        <v>599</v>
      </c>
      <c r="K199" s="10" t="s">
        <v>449</v>
      </c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>
      <c r="A200" s="2"/>
      <c r="B200" s="197">
        <v>45639</v>
      </c>
      <c r="C200" s="193" t="s">
        <v>3016</v>
      </c>
      <c r="D200" s="193" t="s">
        <v>3017</v>
      </c>
      <c r="E200" s="70" t="s">
        <v>502</v>
      </c>
      <c r="F200" s="71" t="s">
        <v>519</v>
      </c>
      <c r="G200" s="193" t="s">
        <v>503</v>
      </c>
      <c r="H200" s="193">
        <v>80</v>
      </c>
      <c r="I200" s="193" t="s">
        <v>14</v>
      </c>
      <c r="J200" s="193">
        <v>80</v>
      </c>
      <c r="K200" s="193" t="s">
        <v>1918</v>
      </c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>
      <c r="A201" s="2"/>
      <c r="B201" s="197">
        <v>45639</v>
      </c>
      <c r="C201" s="193" t="s">
        <v>3018</v>
      </c>
      <c r="D201" s="193" t="s">
        <v>3019</v>
      </c>
      <c r="E201" s="70" t="s">
        <v>467</v>
      </c>
      <c r="F201" s="71" t="s">
        <v>447</v>
      </c>
      <c r="G201" s="193" t="s">
        <v>468</v>
      </c>
      <c r="H201" s="193">
        <v>190</v>
      </c>
      <c r="I201" s="193" t="s">
        <v>14</v>
      </c>
      <c r="J201" s="193">
        <v>190</v>
      </c>
      <c r="K201" s="193" t="s">
        <v>1918</v>
      </c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>
      <c r="A202" s="2"/>
      <c r="B202" s="197">
        <v>45639</v>
      </c>
      <c r="C202" s="193" t="s">
        <v>3020</v>
      </c>
      <c r="D202" s="193" t="s">
        <v>3021</v>
      </c>
      <c r="E202" s="70" t="s">
        <v>498</v>
      </c>
      <c r="F202" s="71" t="s">
        <v>447</v>
      </c>
      <c r="G202" s="193" t="s">
        <v>2750</v>
      </c>
      <c r="H202" s="193">
        <v>140</v>
      </c>
      <c r="I202" s="193">
        <v>139</v>
      </c>
      <c r="J202" s="193">
        <v>279</v>
      </c>
      <c r="K202" s="193" t="s">
        <v>2657</v>
      </c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>
      <c r="A203" s="2"/>
      <c r="B203" s="197">
        <v>45639</v>
      </c>
      <c r="C203" s="193" t="s">
        <v>3022</v>
      </c>
      <c r="D203" s="193" t="s">
        <v>3023</v>
      </c>
      <c r="E203" s="70" t="s">
        <v>588</v>
      </c>
      <c r="F203" s="71" t="s">
        <v>447</v>
      </c>
      <c r="G203" s="193" t="s">
        <v>3024</v>
      </c>
      <c r="H203" s="193">
        <v>250</v>
      </c>
      <c r="I203" s="193" t="s">
        <v>14</v>
      </c>
      <c r="J203" s="193">
        <v>250</v>
      </c>
      <c r="K203" s="193" t="s">
        <v>2657</v>
      </c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>
      <c r="A204" s="2"/>
      <c r="B204" s="30">
        <v>45640</v>
      </c>
      <c r="C204" s="10" t="s">
        <v>3025</v>
      </c>
      <c r="D204" s="10" t="s">
        <v>3026</v>
      </c>
      <c r="E204" s="125" t="s">
        <v>498</v>
      </c>
      <c r="F204" s="54" t="s">
        <v>447</v>
      </c>
      <c r="G204" s="10" t="s">
        <v>515</v>
      </c>
      <c r="H204" s="10">
        <v>90</v>
      </c>
      <c r="I204" s="10"/>
      <c r="J204" s="10">
        <v>199</v>
      </c>
      <c r="K204" s="10" t="s">
        <v>2657</v>
      </c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>
      <c r="A205" s="2"/>
      <c r="B205" s="30">
        <v>45641</v>
      </c>
      <c r="C205" s="10" t="s">
        <v>3027</v>
      </c>
      <c r="D205" s="10" t="s">
        <v>3028</v>
      </c>
      <c r="E205" s="125" t="s">
        <v>453</v>
      </c>
      <c r="F205" s="54" t="s">
        <v>447</v>
      </c>
      <c r="G205" s="10" t="s">
        <v>2686</v>
      </c>
      <c r="H205" s="10">
        <v>290</v>
      </c>
      <c r="I205" s="10">
        <v>289</v>
      </c>
      <c r="J205" s="10">
        <v>579</v>
      </c>
      <c r="K205" s="10" t="s">
        <v>2657</v>
      </c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>
      <c r="A206" s="2"/>
      <c r="B206" s="197">
        <v>45642</v>
      </c>
      <c r="C206" s="193">
        <v>95</v>
      </c>
      <c r="D206" s="193" t="s">
        <v>2844</v>
      </c>
      <c r="E206" s="70" t="s">
        <v>588</v>
      </c>
      <c r="F206" s="71" t="s">
        <v>14</v>
      </c>
      <c r="G206" s="193" t="s">
        <v>531</v>
      </c>
      <c r="H206" s="193">
        <v>90</v>
      </c>
      <c r="I206" s="193" t="s">
        <v>14</v>
      </c>
      <c r="J206" s="193">
        <v>90</v>
      </c>
      <c r="K206" s="193" t="s">
        <v>480</v>
      </c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>
      <c r="A207" s="2"/>
      <c r="B207" s="197">
        <v>45642</v>
      </c>
      <c r="C207" s="193" t="s">
        <v>3029</v>
      </c>
      <c r="D207" s="193">
        <v>992307783</v>
      </c>
      <c r="E207" s="70" t="s">
        <v>453</v>
      </c>
      <c r="F207" s="71" t="s">
        <v>519</v>
      </c>
      <c r="G207" s="193" t="s">
        <v>623</v>
      </c>
      <c r="H207" s="193">
        <v>80</v>
      </c>
      <c r="I207" s="193" t="s">
        <v>14</v>
      </c>
      <c r="J207" s="193">
        <v>80</v>
      </c>
      <c r="K207" s="193" t="s">
        <v>2657</v>
      </c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>
      <c r="A208" s="2"/>
      <c r="B208" s="197">
        <v>45642</v>
      </c>
      <c r="C208" s="193" t="s">
        <v>3030</v>
      </c>
      <c r="D208" s="193" t="s">
        <v>3031</v>
      </c>
      <c r="E208" s="70" t="s">
        <v>446</v>
      </c>
      <c r="F208" s="71" t="s">
        <v>519</v>
      </c>
      <c r="G208" s="193" t="s">
        <v>556</v>
      </c>
      <c r="H208" s="193">
        <v>137.5</v>
      </c>
      <c r="I208" s="193"/>
      <c r="J208" s="193">
        <v>275</v>
      </c>
      <c r="K208" s="193" t="s">
        <v>3032</v>
      </c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>
      <c r="A209" s="2"/>
      <c r="B209" s="197">
        <v>45642</v>
      </c>
      <c r="C209" s="213" t="s">
        <v>3033</v>
      </c>
      <c r="D209" s="193" t="s">
        <v>3034</v>
      </c>
      <c r="E209" s="70" t="s">
        <v>494</v>
      </c>
      <c r="F209" s="71" t="s">
        <v>447</v>
      </c>
      <c r="G209" s="193" t="s">
        <v>3035</v>
      </c>
      <c r="H209" s="193">
        <v>750</v>
      </c>
      <c r="I209" s="193" t="s">
        <v>14</v>
      </c>
      <c r="J209" s="193">
        <v>750</v>
      </c>
      <c r="K209" s="193" t="s">
        <v>1918</v>
      </c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>
      <c r="A210" s="2"/>
      <c r="B210" s="197">
        <v>45642</v>
      </c>
      <c r="C210" s="193" t="s">
        <v>3036</v>
      </c>
      <c r="D210" s="213" t="s">
        <v>3037</v>
      </c>
      <c r="E210" s="70" t="s">
        <v>453</v>
      </c>
      <c r="F210" s="71" t="s">
        <v>447</v>
      </c>
      <c r="G210" s="193" t="s">
        <v>503</v>
      </c>
      <c r="H210" s="193">
        <v>85</v>
      </c>
      <c r="I210" s="193" t="s">
        <v>14</v>
      </c>
      <c r="J210" s="193">
        <v>85</v>
      </c>
      <c r="K210" s="193" t="s">
        <v>1918</v>
      </c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>
      <c r="A211" s="2"/>
      <c r="B211" s="201">
        <v>45642</v>
      </c>
      <c r="C211" s="202" t="s">
        <v>3004</v>
      </c>
      <c r="D211" s="202" t="s">
        <v>3038</v>
      </c>
      <c r="E211" s="89" t="s">
        <v>588</v>
      </c>
      <c r="F211" s="90" t="s">
        <v>447</v>
      </c>
      <c r="G211" s="202" t="s">
        <v>3039</v>
      </c>
      <c r="H211" s="202" t="s">
        <v>3040</v>
      </c>
      <c r="I211" s="202" t="s">
        <v>14</v>
      </c>
      <c r="J211" s="202" t="s">
        <v>14</v>
      </c>
      <c r="K211" s="202" t="s">
        <v>2657</v>
      </c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>
      <c r="A212" s="2"/>
      <c r="B212" s="30">
        <v>45643</v>
      </c>
      <c r="C212" s="10" t="s">
        <v>3041</v>
      </c>
      <c r="D212" s="10">
        <v>933857540</v>
      </c>
      <c r="E212" s="125" t="s">
        <v>446</v>
      </c>
      <c r="F212" s="54" t="s">
        <v>447</v>
      </c>
      <c r="G212" s="10" t="s">
        <v>2989</v>
      </c>
      <c r="H212" s="10">
        <v>150</v>
      </c>
      <c r="I212" s="10"/>
      <c r="J212" s="10">
        <v>299</v>
      </c>
      <c r="K212" s="10" t="s">
        <v>2657</v>
      </c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>
      <c r="A213" s="2"/>
      <c r="B213" s="30">
        <v>45643</v>
      </c>
      <c r="C213" s="10" t="s">
        <v>3042</v>
      </c>
      <c r="D213" s="10" t="s">
        <v>3043</v>
      </c>
      <c r="E213" s="125" t="s">
        <v>453</v>
      </c>
      <c r="F213" s="54" t="s">
        <v>2969</v>
      </c>
      <c r="G213" s="10" t="s">
        <v>2989</v>
      </c>
      <c r="H213" s="10" t="s">
        <v>3044</v>
      </c>
      <c r="I213" s="10" t="s">
        <v>14</v>
      </c>
      <c r="J213" s="10" t="s">
        <v>14</v>
      </c>
      <c r="K213" s="10" t="s">
        <v>449</v>
      </c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>
      <c r="A214" s="2"/>
      <c r="B214" s="30">
        <v>45643</v>
      </c>
      <c r="C214" s="10" t="s">
        <v>3045</v>
      </c>
      <c r="D214" s="10">
        <v>900619380</v>
      </c>
      <c r="E214" s="125" t="s">
        <v>453</v>
      </c>
      <c r="F214" s="54" t="s">
        <v>447</v>
      </c>
      <c r="G214" s="10" t="s">
        <v>2732</v>
      </c>
      <c r="H214" s="10">
        <v>125</v>
      </c>
      <c r="I214" s="10">
        <v>124</v>
      </c>
      <c r="J214" s="10">
        <v>249</v>
      </c>
      <c r="K214" s="10" t="s">
        <v>2657</v>
      </c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>
      <c r="A215" s="2"/>
      <c r="B215" s="30">
        <v>45643</v>
      </c>
      <c r="C215" s="10" t="s">
        <v>3046</v>
      </c>
      <c r="D215" s="10" t="s">
        <v>611</v>
      </c>
      <c r="E215" s="125" t="s">
        <v>483</v>
      </c>
      <c r="F215" s="54" t="s">
        <v>14</v>
      </c>
      <c r="G215" s="10" t="s">
        <v>3047</v>
      </c>
      <c r="H215" s="10">
        <v>1876</v>
      </c>
      <c r="I215" s="10" t="s">
        <v>14</v>
      </c>
      <c r="J215" s="10">
        <v>1876</v>
      </c>
      <c r="K215" s="10" t="s">
        <v>480</v>
      </c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>
      <c r="A216" s="2"/>
      <c r="B216" s="30">
        <v>45643</v>
      </c>
      <c r="C216" s="10" t="s">
        <v>3048</v>
      </c>
      <c r="D216" s="10" t="s">
        <v>3049</v>
      </c>
      <c r="E216" s="125" t="s">
        <v>446</v>
      </c>
      <c r="F216" s="54" t="s">
        <v>447</v>
      </c>
      <c r="G216" s="10" t="s">
        <v>2709</v>
      </c>
      <c r="H216" s="10">
        <v>250</v>
      </c>
      <c r="I216" s="10"/>
      <c r="J216" s="10">
        <v>619</v>
      </c>
      <c r="K216" s="10" t="s">
        <v>2657</v>
      </c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>
      <c r="A217" s="2"/>
      <c r="B217" s="30">
        <v>45643</v>
      </c>
      <c r="C217" s="10" t="s">
        <v>3050</v>
      </c>
      <c r="D217" s="10" t="s">
        <v>3051</v>
      </c>
      <c r="E217" s="125" t="s">
        <v>522</v>
      </c>
      <c r="F217" s="54" t="s">
        <v>447</v>
      </c>
      <c r="G217" s="10" t="s">
        <v>3052</v>
      </c>
      <c r="H217" s="10">
        <v>130</v>
      </c>
      <c r="I217" s="10" t="s">
        <v>14</v>
      </c>
      <c r="J217" s="10">
        <v>130</v>
      </c>
      <c r="K217" s="10" t="s">
        <v>449</v>
      </c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>
      <c r="A218" s="2"/>
      <c r="B218" s="197">
        <v>45644</v>
      </c>
      <c r="C218" s="193" t="s">
        <v>3053</v>
      </c>
      <c r="D218" s="193" t="s">
        <v>3054</v>
      </c>
      <c r="E218" s="70" t="s">
        <v>502</v>
      </c>
      <c r="F218" s="71" t="s">
        <v>447</v>
      </c>
      <c r="G218" s="193" t="s">
        <v>2776</v>
      </c>
      <c r="H218" s="193">
        <v>80</v>
      </c>
      <c r="I218" s="193" t="s">
        <v>14</v>
      </c>
      <c r="J218" s="193">
        <v>80</v>
      </c>
      <c r="K218" s="193" t="s">
        <v>2657</v>
      </c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>
      <c r="A219" s="2"/>
      <c r="B219" s="197">
        <v>45644</v>
      </c>
      <c r="C219" s="193" t="s">
        <v>3055</v>
      </c>
      <c r="D219" s="193" t="s">
        <v>3056</v>
      </c>
      <c r="E219" s="70" t="s">
        <v>453</v>
      </c>
      <c r="F219" s="71" t="s">
        <v>447</v>
      </c>
      <c r="G219" s="193" t="s">
        <v>2741</v>
      </c>
      <c r="H219" s="193">
        <v>95</v>
      </c>
      <c r="I219" s="193">
        <v>95</v>
      </c>
      <c r="J219" s="193">
        <v>190</v>
      </c>
      <c r="K219" s="193" t="s">
        <v>1918</v>
      </c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>
      <c r="A220" s="2"/>
      <c r="B220" s="214">
        <v>45644</v>
      </c>
      <c r="C220" s="193" t="s">
        <v>2716</v>
      </c>
      <c r="D220" s="193">
        <v>912655076</v>
      </c>
      <c r="E220" s="70" t="s">
        <v>453</v>
      </c>
      <c r="F220" s="71" t="s">
        <v>447</v>
      </c>
      <c r="G220" s="193" t="s">
        <v>623</v>
      </c>
      <c r="H220" s="193">
        <v>80</v>
      </c>
      <c r="I220" s="193" t="s">
        <v>14</v>
      </c>
      <c r="J220" s="193">
        <v>80</v>
      </c>
      <c r="K220" s="193" t="s">
        <v>2657</v>
      </c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>
      <c r="A221" s="2"/>
      <c r="B221" s="214">
        <v>45644</v>
      </c>
      <c r="C221" s="193" t="s">
        <v>3057</v>
      </c>
      <c r="D221" s="193" t="s">
        <v>3058</v>
      </c>
      <c r="E221" s="70" t="s">
        <v>453</v>
      </c>
      <c r="F221" s="71" t="s">
        <v>447</v>
      </c>
      <c r="G221" s="193" t="s">
        <v>2686</v>
      </c>
      <c r="H221" s="193">
        <v>164.5</v>
      </c>
      <c r="I221" s="193">
        <v>164.5</v>
      </c>
      <c r="J221" s="193">
        <v>329</v>
      </c>
      <c r="K221" s="193" t="s">
        <v>1918</v>
      </c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>
      <c r="A222" s="2"/>
      <c r="B222" s="197">
        <v>45644</v>
      </c>
      <c r="C222" s="193" t="s">
        <v>2894</v>
      </c>
      <c r="D222" s="193" t="s">
        <v>3059</v>
      </c>
      <c r="E222" s="70" t="s">
        <v>453</v>
      </c>
      <c r="F222" s="71" t="s">
        <v>447</v>
      </c>
      <c r="G222" s="193" t="s">
        <v>3060</v>
      </c>
      <c r="H222" s="193">
        <v>100</v>
      </c>
      <c r="I222" s="193"/>
      <c r="J222" s="193">
        <v>199</v>
      </c>
      <c r="K222" s="193" t="s">
        <v>480</v>
      </c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>
      <c r="A223" s="2"/>
      <c r="B223" s="197">
        <v>45644</v>
      </c>
      <c r="C223" s="193" t="s">
        <v>3061</v>
      </c>
      <c r="D223" s="193" t="s">
        <v>3062</v>
      </c>
      <c r="E223" s="70" t="s">
        <v>446</v>
      </c>
      <c r="F223" s="71" t="s">
        <v>447</v>
      </c>
      <c r="G223" s="193" t="s">
        <v>2750</v>
      </c>
      <c r="H223" s="193">
        <v>100</v>
      </c>
      <c r="I223" s="193"/>
      <c r="J223" s="193">
        <v>219</v>
      </c>
      <c r="K223" s="193" t="s">
        <v>2657</v>
      </c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>
      <c r="A224" s="2"/>
      <c r="B224" s="30">
        <v>45645</v>
      </c>
      <c r="C224" s="10" t="s">
        <v>3063</v>
      </c>
      <c r="D224" s="10">
        <v>955738222</v>
      </c>
      <c r="E224" s="125" t="s">
        <v>446</v>
      </c>
      <c r="F224" s="54" t="s">
        <v>447</v>
      </c>
      <c r="G224" s="10" t="s">
        <v>3064</v>
      </c>
      <c r="H224" s="10">
        <v>100</v>
      </c>
      <c r="I224" s="10">
        <v>99</v>
      </c>
      <c r="J224" s="10">
        <v>199</v>
      </c>
      <c r="K224" s="10" t="s">
        <v>2657</v>
      </c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>
      <c r="A225" s="2"/>
      <c r="B225" s="30">
        <v>45645</v>
      </c>
      <c r="C225" s="10" t="s">
        <v>3065</v>
      </c>
      <c r="D225" s="10" t="s">
        <v>3066</v>
      </c>
      <c r="E225" s="125" t="s">
        <v>446</v>
      </c>
      <c r="F225" s="54" t="s">
        <v>519</v>
      </c>
      <c r="G225" s="10" t="s">
        <v>3064</v>
      </c>
      <c r="H225" s="10">
        <v>150</v>
      </c>
      <c r="I225" s="10"/>
      <c r="J225" s="10">
        <v>299</v>
      </c>
      <c r="K225" s="10" t="s">
        <v>2657</v>
      </c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>
      <c r="A226" s="2"/>
      <c r="B226" s="30">
        <v>45645</v>
      </c>
      <c r="C226" s="10" t="s">
        <v>720</v>
      </c>
      <c r="D226" s="10" t="s">
        <v>3067</v>
      </c>
      <c r="E226" s="125" t="s">
        <v>498</v>
      </c>
      <c r="F226" s="54" t="s">
        <v>447</v>
      </c>
      <c r="G226" s="10" t="s">
        <v>2976</v>
      </c>
      <c r="H226" s="10">
        <v>89.5</v>
      </c>
      <c r="I226" s="10"/>
      <c r="J226" s="10">
        <v>179</v>
      </c>
      <c r="K226" s="10" t="s">
        <v>2657</v>
      </c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>
      <c r="A227" s="2"/>
      <c r="B227" s="30">
        <v>45645</v>
      </c>
      <c r="C227" s="10" t="s">
        <v>3068</v>
      </c>
      <c r="D227" s="10" t="s">
        <v>1336</v>
      </c>
      <c r="E227" s="125" t="s">
        <v>530</v>
      </c>
      <c r="F227" s="54" t="s">
        <v>14</v>
      </c>
      <c r="G227" s="10" t="s">
        <v>484</v>
      </c>
      <c r="H227" s="10">
        <v>90</v>
      </c>
      <c r="I227" s="10" t="s">
        <v>14</v>
      </c>
      <c r="J227" s="10">
        <v>90</v>
      </c>
      <c r="K227" s="10" t="s">
        <v>480</v>
      </c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>
      <c r="A228" s="2"/>
      <c r="B228" s="30">
        <v>45645</v>
      </c>
      <c r="C228" s="10" t="s">
        <v>3063</v>
      </c>
      <c r="D228" s="10">
        <v>942032180</v>
      </c>
      <c r="E228" s="125" t="s">
        <v>502</v>
      </c>
      <c r="F228" s="54" t="s">
        <v>447</v>
      </c>
      <c r="G228" s="10" t="s">
        <v>623</v>
      </c>
      <c r="H228" s="10">
        <v>40</v>
      </c>
      <c r="I228" s="10"/>
      <c r="J228" s="10">
        <v>80</v>
      </c>
      <c r="K228" s="10" t="s">
        <v>2657</v>
      </c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>
      <c r="A229" s="2"/>
      <c r="B229" s="30">
        <v>45645</v>
      </c>
      <c r="C229" s="10" t="s">
        <v>3069</v>
      </c>
      <c r="D229" s="10" t="s">
        <v>3070</v>
      </c>
      <c r="E229" s="125" t="s">
        <v>446</v>
      </c>
      <c r="F229" s="54" t="s">
        <v>519</v>
      </c>
      <c r="G229" s="10" t="s">
        <v>503</v>
      </c>
      <c r="H229" s="10">
        <v>50</v>
      </c>
      <c r="I229" s="10" t="s">
        <v>14</v>
      </c>
      <c r="J229" s="10">
        <v>50</v>
      </c>
      <c r="K229" s="10" t="s">
        <v>2657</v>
      </c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>
      <c r="A230" s="2"/>
      <c r="B230" s="215">
        <v>45645</v>
      </c>
      <c r="C230" s="26" t="s">
        <v>1962</v>
      </c>
      <c r="D230" s="26" t="s">
        <v>3071</v>
      </c>
      <c r="E230" s="125" t="s">
        <v>502</v>
      </c>
      <c r="F230" s="54" t="s">
        <v>447</v>
      </c>
      <c r="G230" s="26" t="s">
        <v>503</v>
      </c>
      <c r="H230" s="26">
        <v>85</v>
      </c>
      <c r="I230" s="26" t="s">
        <v>14</v>
      </c>
      <c r="J230" s="26">
        <v>85</v>
      </c>
      <c r="K230" s="10" t="s">
        <v>1918</v>
      </c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>
      <c r="A231" s="2"/>
      <c r="B231" s="216">
        <v>45646</v>
      </c>
      <c r="C231" s="217" t="s">
        <v>3072</v>
      </c>
      <c r="D231" s="217" t="s">
        <v>3073</v>
      </c>
      <c r="E231" s="70" t="s">
        <v>522</v>
      </c>
      <c r="F231" s="71" t="s">
        <v>447</v>
      </c>
      <c r="G231" s="217" t="s">
        <v>3074</v>
      </c>
      <c r="H231" s="217">
        <v>195</v>
      </c>
      <c r="I231" s="217"/>
      <c r="J231" s="217">
        <v>390</v>
      </c>
      <c r="K231" s="193" t="s">
        <v>1918</v>
      </c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>
      <c r="A232" s="2"/>
      <c r="B232" s="197">
        <v>45646</v>
      </c>
      <c r="C232" s="193" t="s">
        <v>2775</v>
      </c>
      <c r="D232" s="193">
        <v>952908474</v>
      </c>
      <c r="E232" s="70" t="s">
        <v>446</v>
      </c>
      <c r="F232" s="71" t="s">
        <v>447</v>
      </c>
      <c r="G232" s="193" t="s">
        <v>3075</v>
      </c>
      <c r="H232" s="193">
        <v>645</v>
      </c>
      <c r="I232" s="193"/>
      <c r="J232" s="193">
        <v>1290</v>
      </c>
      <c r="K232" s="193" t="s">
        <v>2657</v>
      </c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>
      <c r="A233" s="2"/>
      <c r="B233" s="197">
        <v>45646</v>
      </c>
      <c r="C233" s="193" t="s">
        <v>2716</v>
      </c>
      <c r="D233" s="193" t="s">
        <v>3076</v>
      </c>
      <c r="E233" s="70" t="s">
        <v>453</v>
      </c>
      <c r="F233" s="71" t="s">
        <v>447</v>
      </c>
      <c r="G233" s="193" t="s">
        <v>3077</v>
      </c>
      <c r="H233" s="193">
        <v>495</v>
      </c>
      <c r="I233" s="193"/>
      <c r="J233" s="193">
        <v>990</v>
      </c>
      <c r="K233" s="193" t="s">
        <v>2657</v>
      </c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>
      <c r="A234" s="2"/>
      <c r="B234" s="30">
        <v>45647</v>
      </c>
      <c r="C234" s="10" t="s">
        <v>3078</v>
      </c>
      <c r="D234" s="10">
        <v>957502225</v>
      </c>
      <c r="E234" s="125" t="s">
        <v>453</v>
      </c>
      <c r="F234" s="54" t="s">
        <v>447</v>
      </c>
      <c r="G234" s="10" t="s">
        <v>3064</v>
      </c>
      <c r="H234" s="10">
        <v>120</v>
      </c>
      <c r="I234" s="10"/>
      <c r="J234" s="10">
        <v>219</v>
      </c>
      <c r="K234" s="10" t="s">
        <v>2657</v>
      </c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>
      <c r="A235" s="2"/>
      <c r="B235" s="30">
        <v>45647</v>
      </c>
      <c r="C235" s="10" t="s">
        <v>485</v>
      </c>
      <c r="D235" s="10" t="s">
        <v>486</v>
      </c>
      <c r="E235" s="125" t="s">
        <v>483</v>
      </c>
      <c r="F235" s="54" t="s">
        <v>447</v>
      </c>
      <c r="G235" s="10" t="s">
        <v>484</v>
      </c>
      <c r="H235" s="10">
        <v>170</v>
      </c>
      <c r="I235" s="10" t="s">
        <v>14</v>
      </c>
      <c r="J235" s="10">
        <v>170</v>
      </c>
      <c r="K235" s="10" t="s">
        <v>1918</v>
      </c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>
      <c r="A236" s="2"/>
      <c r="B236" s="30">
        <v>45647</v>
      </c>
      <c r="C236" s="10" t="s">
        <v>3079</v>
      </c>
      <c r="D236" s="10">
        <v>977459144</v>
      </c>
      <c r="E236" s="125" t="s">
        <v>453</v>
      </c>
      <c r="F236" s="54" t="s">
        <v>519</v>
      </c>
      <c r="G236" s="10" t="s">
        <v>3080</v>
      </c>
      <c r="H236" s="10">
        <v>195</v>
      </c>
      <c r="I236" s="10">
        <v>195</v>
      </c>
      <c r="J236" s="10">
        <v>390</v>
      </c>
      <c r="K236" s="10" t="s">
        <v>2657</v>
      </c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>
      <c r="A237" s="2"/>
      <c r="B237" s="197">
        <v>45649</v>
      </c>
      <c r="C237" s="193" t="s">
        <v>3081</v>
      </c>
      <c r="D237" s="213" t="s">
        <v>3082</v>
      </c>
      <c r="E237" s="70" t="s">
        <v>494</v>
      </c>
      <c r="F237" s="71" t="s">
        <v>447</v>
      </c>
      <c r="G237" s="193" t="s">
        <v>3083</v>
      </c>
      <c r="H237" s="193">
        <v>75</v>
      </c>
      <c r="I237" s="193" t="s">
        <v>14</v>
      </c>
      <c r="J237" s="193">
        <v>75</v>
      </c>
      <c r="K237" s="193" t="s">
        <v>2657</v>
      </c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>
      <c r="A238" s="2"/>
      <c r="B238" s="197">
        <v>45649</v>
      </c>
      <c r="C238" s="193" t="s">
        <v>3084</v>
      </c>
      <c r="D238" s="193" t="s">
        <v>3085</v>
      </c>
      <c r="E238" s="70" t="s">
        <v>3086</v>
      </c>
      <c r="F238" s="71" t="s">
        <v>447</v>
      </c>
      <c r="G238" s="193" t="s">
        <v>3087</v>
      </c>
      <c r="H238" s="193">
        <v>290</v>
      </c>
      <c r="I238" s="193" t="s">
        <v>14</v>
      </c>
      <c r="J238" s="193">
        <v>290</v>
      </c>
      <c r="K238" s="193" t="s">
        <v>1918</v>
      </c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>
      <c r="A239" s="2"/>
      <c r="B239" s="197">
        <v>45649</v>
      </c>
      <c r="C239" s="193" t="s">
        <v>3088</v>
      </c>
      <c r="D239" s="193" t="s">
        <v>3089</v>
      </c>
      <c r="E239" s="70" t="s">
        <v>453</v>
      </c>
      <c r="F239" s="71" t="s">
        <v>519</v>
      </c>
      <c r="G239" s="193" t="s">
        <v>3090</v>
      </c>
      <c r="H239" s="193">
        <v>450</v>
      </c>
      <c r="I239" s="193">
        <v>395</v>
      </c>
      <c r="J239" s="193">
        <v>845</v>
      </c>
      <c r="K239" s="193" t="s">
        <v>449</v>
      </c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>
      <c r="A240" s="2"/>
      <c r="B240" s="30">
        <v>45650</v>
      </c>
      <c r="C240" s="10" t="s">
        <v>3091</v>
      </c>
      <c r="D240" s="10" t="s">
        <v>3092</v>
      </c>
      <c r="E240" s="125" t="s">
        <v>446</v>
      </c>
      <c r="F240" s="54" t="s">
        <v>447</v>
      </c>
      <c r="G240" s="10" t="s">
        <v>2741</v>
      </c>
      <c r="H240" s="10">
        <v>95</v>
      </c>
      <c r="I240" s="10">
        <v>95</v>
      </c>
      <c r="J240" s="10">
        <v>190</v>
      </c>
      <c r="K240" s="10" t="s">
        <v>1918</v>
      </c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>
      <c r="A241" s="2"/>
      <c r="B241" s="30">
        <v>45650</v>
      </c>
      <c r="C241" s="10" t="s">
        <v>3093</v>
      </c>
      <c r="D241" s="10" t="s">
        <v>3094</v>
      </c>
      <c r="E241" s="125" t="s">
        <v>498</v>
      </c>
      <c r="F241" s="54" t="s">
        <v>447</v>
      </c>
      <c r="G241" s="10" t="s">
        <v>2760</v>
      </c>
      <c r="H241" s="10">
        <v>150</v>
      </c>
      <c r="I241" s="10">
        <v>149</v>
      </c>
      <c r="J241" s="10">
        <v>299</v>
      </c>
      <c r="K241" s="10" t="s">
        <v>1918</v>
      </c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>
      <c r="A242" s="2"/>
      <c r="B242" s="197">
        <v>45652</v>
      </c>
      <c r="C242" s="193" t="s">
        <v>3095</v>
      </c>
      <c r="D242" s="193" t="s">
        <v>3096</v>
      </c>
      <c r="E242" s="70" t="s">
        <v>446</v>
      </c>
      <c r="F242" s="71" t="s">
        <v>447</v>
      </c>
      <c r="G242" s="193" t="s">
        <v>2618</v>
      </c>
      <c r="H242" s="193">
        <v>290</v>
      </c>
      <c r="I242" s="193">
        <v>200</v>
      </c>
      <c r="J242" s="193">
        <v>490</v>
      </c>
      <c r="K242" s="193" t="s">
        <v>2657</v>
      </c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>
      <c r="A243" s="2"/>
      <c r="B243" s="197">
        <v>45652</v>
      </c>
      <c r="C243" s="193" t="s">
        <v>3097</v>
      </c>
      <c r="D243" s="193" t="s">
        <v>3098</v>
      </c>
      <c r="E243" s="70" t="s">
        <v>498</v>
      </c>
      <c r="F243" s="71" t="s">
        <v>447</v>
      </c>
      <c r="G243" s="193" t="s">
        <v>3099</v>
      </c>
      <c r="H243" s="193">
        <v>133</v>
      </c>
      <c r="I243" s="193">
        <v>133</v>
      </c>
      <c r="J243" s="193">
        <v>269</v>
      </c>
      <c r="K243" s="193" t="s">
        <v>1918</v>
      </c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>
      <c r="A244" s="2"/>
      <c r="B244" s="30">
        <v>45653</v>
      </c>
      <c r="C244" s="10" t="s">
        <v>3055</v>
      </c>
      <c r="D244" s="10" t="s">
        <v>493</v>
      </c>
      <c r="E244" s="125" t="s">
        <v>494</v>
      </c>
      <c r="F244" s="54" t="s">
        <v>519</v>
      </c>
      <c r="G244" s="10" t="s">
        <v>495</v>
      </c>
      <c r="H244" s="10">
        <v>490</v>
      </c>
      <c r="I244" s="10" t="s">
        <v>14</v>
      </c>
      <c r="J244" s="10">
        <v>490</v>
      </c>
      <c r="K244" s="10" t="s">
        <v>2657</v>
      </c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>
      <c r="A245" s="2"/>
      <c r="B245" s="30">
        <v>45653</v>
      </c>
      <c r="C245" s="10" t="s">
        <v>2906</v>
      </c>
      <c r="D245" s="10">
        <v>993223628</v>
      </c>
      <c r="E245" s="125" t="s">
        <v>498</v>
      </c>
      <c r="F245" s="54" t="s">
        <v>447</v>
      </c>
      <c r="G245" s="10" t="s">
        <v>3100</v>
      </c>
      <c r="H245" s="10">
        <v>100</v>
      </c>
      <c r="I245" s="10"/>
      <c r="J245" s="10">
        <v>229</v>
      </c>
      <c r="K245" s="10" t="s">
        <v>449</v>
      </c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>
      <c r="A246" s="2"/>
      <c r="B246" s="197">
        <v>45654</v>
      </c>
      <c r="C246" s="193" t="s">
        <v>2743</v>
      </c>
      <c r="D246" s="193" t="s">
        <v>3101</v>
      </c>
      <c r="E246" s="70" t="s">
        <v>498</v>
      </c>
      <c r="F246" s="71" t="s">
        <v>447</v>
      </c>
      <c r="G246" s="193" t="s">
        <v>3102</v>
      </c>
      <c r="H246" s="193">
        <v>100</v>
      </c>
      <c r="I246" s="193">
        <v>109</v>
      </c>
      <c r="J246" s="193">
        <v>209</v>
      </c>
      <c r="K246" s="193" t="s">
        <v>449</v>
      </c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>
      <c r="A247" s="2"/>
      <c r="B247" s="197">
        <v>45654</v>
      </c>
      <c r="C247" s="193" t="s">
        <v>3103</v>
      </c>
      <c r="D247" s="193">
        <v>960285019</v>
      </c>
      <c r="E247" s="70" t="s">
        <v>446</v>
      </c>
      <c r="F247" s="71" t="s">
        <v>447</v>
      </c>
      <c r="G247" s="193" t="s">
        <v>2741</v>
      </c>
      <c r="H247" s="193">
        <v>95</v>
      </c>
      <c r="I247" s="193"/>
      <c r="J247" s="193">
        <v>190</v>
      </c>
      <c r="K247" s="193" t="s">
        <v>2657</v>
      </c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>
      <c r="A248" s="2"/>
      <c r="B248" s="197">
        <v>45654</v>
      </c>
      <c r="C248" s="193" t="s">
        <v>3104</v>
      </c>
      <c r="D248" s="193">
        <v>51957557766</v>
      </c>
      <c r="E248" s="70" t="s">
        <v>453</v>
      </c>
      <c r="F248" s="71" t="s">
        <v>447</v>
      </c>
      <c r="G248" s="193" t="s">
        <v>3105</v>
      </c>
      <c r="H248" s="193">
        <v>250</v>
      </c>
      <c r="I248" s="193"/>
      <c r="J248" s="193">
        <v>499</v>
      </c>
      <c r="K248" s="193" t="s">
        <v>2657</v>
      </c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>
      <c r="A249" s="2"/>
      <c r="B249" s="30">
        <v>45656</v>
      </c>
      <c r="C249" s="10" t="s">
        <v>3106</v>
      </c>
      <c r="D249" s="10">
        <v>941056709</v>
      </c>
      <c r="E249" s="125" t="s">
        <v>446</v>
      </c>
      <c r="F249" s="54" t="s">
        <v>447</v>
      </c>
      <c r="G249" s="10" t="s">
        <v>2776</v>
      </c>
      <c r="H249" s="10">
        <v>80</v>
      </c>
      <c r="I249" s="10" t="s">
        <v>14</v>
      </c>
      <c r="J249" s="10">
        <v>80</v>
      </c>
      <c r="K249" s="10" t="s">
        <v>449</v>
      </c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>
      <c r="A250" s="2"/>
      <c r="B250" s="30">
        <v>45656</v>
      </c>
      <c r="C250" s="10" t="s">
        <v>3107</v>
      </c>
      <c r="D250" s="10" t="s">
        <v>477</v>
      </c>
      <c r="E250" s="125" t="s">
        <v>478</v>
      </c>
      <c r="F250" s="54" t="s">
        <v>447</v>
      </c>
      <c r="G250" s="10" t="s">
        <v>993</v>
      </c>
      <c r="H250" s="10">
        <v>145</v>
      </c>
      <c r="I250" s="10">
        <v>145</v>
      </c>
      <c r="J250" s="10">
        <v>290</v>
      </c>
      <c r="K250" s="10" t="s">
        <v>449</v>
      </c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>
      <c r="A251" s="2"/>
      <c r="B251" s="201">
        <v>45657</v>
      </c>
      <c r="C251" s="202" t="s">
        <v>500</v>
      </c>
      <c r="D251" s="202" t="s">
        <v>3108</v>
      </c>
      <c r="E251" s="89" t="s">
        <v>453</v>
      </c>
      <c r="F251" s="90" t="s">
        <v>447</v>
      </c>
      <c r="G251" s="202" t="s">
        <v>503</v>
      </c>
      <c r="H251" s="202">
        <v>85</v>
      </c>
      <c r="I251" s="202" t="s">
        <v>14</v>
      </c>
      <c r="J251" s="202">
        <v>85</v>
      </c>
      <c r="K251" s="202" t="s">
        <v>1918</v>
      </c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>
      <c r="A252" s="2"/>
      <c r="B252" s="197">
        <v>45657</v>
      </c>
      <c r="C252" s="193" t="s">
        <v>2834</v>
      </c>
      <c r="D252" s="193">
        <v>984013672</v>
      </c>
      <c r="E252" s="70" t="s">
        <v>498</v>
      </c>
      <c r="F252" s="71" t="s">
        <v>447</v>
      </c>
      <c r="G252" s="193" t="s">
        <v>2732</v>
      </c>
      <c r="H252" s="193">
        <v>149.5</v>
      </c>
      <c r="I252" s="193"/>
      <c r="J252" s="193">
        <v>299</v>
      </c>
      <c r="K252" s="193" t="s">
        <v>2657</v>
      </c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>
      <c r="A253" s="2"/>
      <c r="B253" s="10"/>
      <c r="C253" s="10"/>
      <c r="D253" s="10"/>
      <c r="E253" s="125"/>
      <c r="F253" s="54"/>
      <c r="G253" s="10"/>
      <c r="H253" s="10"/>
      <c r="I253" s="10"/>
      <c r="J253" s="10"/>
      <c r="K253" s="10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>
      <c r="A254" s="2"/>
      <c r="B254" s="10"/>
      <c r="C254" s="10"/>
      <c r="D254" s="10"/>
      <c r="E254" s="125"/>
      <c r="F254" s="54"/>
      <c r="G254" s="10"/>
      <c r="H254" s="10"/>
      <c r="I254" s="10"/>
      <c r="J254" s="10"/>
      <c r="K254" s="10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>
      <c r="A255" s="2"/>
      <c r="B255" s="10"/>
      <c r="C255" s="10"/>
      <c r="D255" s="10"/>
      <c r="E255" s="125"/>
      <c r="F255" s="54"/>
      <c r="G255" s="10"/>
      <c r="H255" s="10"/>
      <c r="I255" s="10"/>
      <c r="J255" s="10"/>
      <c r="K255" s="10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>
      <c r="A256" s="2"/>
      <c r="B256" s="10"/>
      <c r="C256" s="10"/>
      <c r="D256" s="10"/>
      <c r="E256" s="125"/>
      <c r="F256" s="54"/>
      <c r="G256" s="10"/>
      <c r="H256" s="10"/>
      <c r="I256" s="10"/>
      <c r="J256" s="10"/>
      <c r="K256" s="10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>
      <c r="A257" s="2"/>
      <c r="B257" s="10"/>
      <c r="C257" s="10"/>
      <c r="D257" s="10"/>
      <c r="E257" s="125"/>
      <c r="F257" s="54"/>
      <c r="G257" s="10"/>
      <c r="H257" s="10"/>
      <c r="I257" s="10"/>
      <c r="J257" s="10"/>
      <c r="K257" s="10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>
      <c r="A258" s="2"/>
      <c r="B258" s="10"/>
      <c r="C258" s="10"/>
      <c r="D258" s="10"/>
      <c r="E258" s="125"/>
      <c r="F258" s="54"/>
      <c r="G258" s="10"/>
      <c r="H258" s="10"/>
      <c r="I258" s="10"/>
      <c r="J258" s="10"/>
      <c r="K258" s="10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>
      <c r="A259" s="2"/>
      <c r="B259" s="10"/>
      <c r="C259" s="10"/>
      <c r="D259" s="10"/>
      <c r="E259" s="125"/>
      <c r="F259" s="54"/>
      <c r="G259" s="10"/>
      <c r="H259" s="10"/>
      <c r="I259" s="10"/>
      <c r="J259" s="10"/>
      <c r="K259" s="10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>
      <c r="A260" s="2"/>
      <c r="B260" s="10"/>
      <c r="C260" s="10"/>
      <c r="D260" s="10"/>
      <c r="E260" s="125"/>
      <c r="F260" s="54"/>
      <c r="G260" s="10"/>
      <c r="H260" s="10"/>
      <c r="I260" s="10"/>
      <c r="J260" s="10"/>
      <c r="K260" s="10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>
      <c r="A261" s="2"/>
      <c r="B261" s="10"/>
      <c r="C261" s="10"/>
      <c r="D261" s="10"/>
      <c r="E261" s="125"/>
      <c r="F261" s="54"/>
      <c r="G261" s="10"/>
      <c r="H261" s="10"/>
      <c r="I261" s="10"/>
      <c r="J261" s="10"/>
      <c r="K261" s="10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>
      <c r="A262" s="2"/>
      <c r="B262" s="10"/>
      <c r="C262" s="10"/>
      <c r="D262" s="10"/>
      <c r="E262" s="125"/>
      <c r="F262" s="54"/>
      <c r="G262" s="10"/>
      <c r="H262" s="10"/>
      <c r="I262" s="10"/>
      <c r="J262" s="10"/>
      <c r="K262" s="10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>
      <c r="A263" s="2"/>
      <c r="B263" s="10"/>
      <c r="C263" s="10"/>
      <c r="D263" s="10"/>
      <c r="E263" s="125"/>
      <c r="F263" s="54"/>
      <c r="G263" s="10"/>
      <c r="H263" s="10"/>
      <c r="I263" s="10"/>
      <c r="J263" s="10"/>
      <c r="K263" s="10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>
      <c r="A264" s="2"/>
      <c r="B264" s="10"/>
      <c r="C264" s="10"/>
      <c r="D264" s="10"/>
      <c r="E264" s="125"/>
      <c r="F264" s="54"/>
      <c r="G264" s="10"/>
      <c r="H264" s="10"/>
      <c r="I264" s="10"/>
      <c r="J264" s="10"/>
      <c r="K264" s="10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>
      <c r="A265" s="2"/>
      <c r="B265" s="10"/>
      <c r="C265" s="10"/>
      <c r="D265" s="10"/>
      <c r="E265" s="125"/>
      <c r="F265" s="54"/>
      <c r="G265" s="10"/>
      <c r="H265" s="10"/>
      <c r="I265" s="10"/>
      <c r="J265" s="10"/>
      <c r="K265" s="10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>
      <c r="A266" s="2"/>
      <c r="B266" s="10"/>
      <c r="C266" s="10"/>
      <c r="D266" s="10"/>
      <c r="E266" s="125"/>
      <c r="F266" s="54"/>
      <c r="G266" s="10"/>
      <c r="H266" s="10"/>
      <c r="I266" s="10"/>
      <c r="J266" s="10"/>
      <c r="K266" s="10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>
      <c r="A267" s="2"/>
      <c r="B267" s="10"/>
      <c r="C267" s="10"/>
      <c r="D267" s="10"/>
      <c r="E267" s="125"/>
      <c r="F267" s="54"/>
      <c r="G267" s="10"/>
      <c r="H267" s="10"/>
      <c r="I267" s="10"/>
      <c r="J267" s="10"/>
      <c r="K267" s="10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>
      <c r="A268" s="2"/>
      <c r="B268" s="10"/>
      <c r="C268" s="10"/>
      <c r="D268" s="10"/>
      <c r="E268" s="125"/>
      <c r="F268" s="54"/>
      <c r="G268" s="10"/>
      <c r="H268" s="10"/>
      <c r="I268" s="10"/>
      <c r="J268" s="10"/>
      <c r="K268" s="10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>
      <c r="A269" s="2"/>
      <c r="B269" s="10"/>
      <c r="C269" s="10"/>
      <c r="D269" s="10"/>
      <c r="E269" s="125"/>
      <c r="F269" s="54"/>
      <c r="G269" s="10"/>
      <c r="H269" s="10"/>
      <c r="I269" s="10"/>
      <c r="J269" s="10"/>
      <c r="K269" s="10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>
      <c r="A270" s="2"/>
      <c r="B270" s="10"/>
      <c r="C270" s="10"/>
      <c r="D270" s="10"/>
      <c r="E270" s="125"/>
      <c r="F270" s="54"/>
      <c r="G270" s="10"/>
      <c r="H270" s="10"/>
      <c r="I270" s="10"/>
      <c r="J270" s="10"/>
      <c r="K270" s="10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>
      <c r="A271" s="2"/>
      <c r="B271" s="10"/>
      <c r="C271" s="10"/>
      <c r="D271" s="10"/>
      <c r="E271" s="125"/>
      <c r="F271" s="54"/>
      <c r="G271" s="10"/>
      <c r="H271" s="10"/>
      <c r="I271" s="10"/>
      <c r="J271" s="10"/>
      <c r="K271" s="10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>
      <c r="A272" s="2"/>
      <c r="B272" s="10"/>
      <c r="C272" s="10"/>
      <c r="D272" s="10"/>
      <c r="E272" s="125"/>
      <c r="F272" s="54"/>
      <c r="G272" s="10"/>
      <c r="H272" s="10"/>
      <c r="I272" s="10"/>
      <c r="J272" s="10"/>
      <c r="K272" s="10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>
      <c r="A273" s="2"/>
      <c r="B273" s="10"/>
      <c r="C273" s="10"/>
      <c r="D273" s="10"/>
      <c r="E273" s="125"/>
      <c r="F273" s="54"/>
      <c r="G273" s="10"/>
      <c r="H273" s="10"/>
      <c r="I273" s="10"/>
      <c r="J273" s="10"/>
      <c r="K273" s="10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>
      <c r="A274" s="2"/>
      <c r="B274" s="10"/>
      <c r="C274" s="10"/>
      <c r="D274" s="10"/>
      <c r="E274" s="125"/>
      <c r="F274" s="54"/>
      <c r="G274" s="10"/>
      <c r="H274" s="10"/>
      <c r="I274" s="10"/>
      <c r="J274" s="10"/>
      <c r="K274" s="10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>
      <c r="A275" s="2"/>
      <c r="B275" s="10"/>
      <c r="C275" s="10"/>
      <c r="D275" s="10"/>
      <c r="E275" s="125"/>
      <c r="F275" s="54"/>
      <c r="G275" s="10"/>
      <c r="H275" s="10"/>
      <c r="I275" s="10"/>
      <c r="J275" s="10"/>
      <c r="K275" s="10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>
      <c r="A276" s="2"/>
      <c r="B276" s="10"/>
      <c r="C276" s="10"/>
      <c r="D276" s="10"/>
      <c r="E276" s="125"/>
      <c r="F276" s="54"/>
      <c r="G276" s="10"/>
      <c r="H276" s="10"/>
      <c r="I276" s="10"/>
      <c r="J276" s="10"/>
      <c r="K276" s="10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>
      <c r="A277" s="2"/>
      <c r="B277" s="10"/>
      <c r="C277" s="10"/>
      <c r="D277" s="10"/>
      <c r="E277" s="125"/>
      <c r="F277" s="54"/>
      <c r="G277" s="10"/>
      <c r="H277" s="10"/>
      <c r="I277" s="10"/>
      <c r="J277" s="10"/>
      <c r="K277" s="10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>
      <c r="A278" s="2"/>
      <c r="B278" s="10"/>
      <c r="C278" s="10"/>
      <c r="D278" s="10"/>
      <c r="E278" s="125"/>
      <c r="F278" s="54"/>
      <c r="G278" s="10"/>
      <c r="H278" s="10"/>
      <c r="I278" s="10"/>
      <c r="J278" s="10"/>
      <c r="K278" s="10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>
      <c r="A279" s="2"/>
      <c r="B279" s="10"/>
      <c r="C279" s="10"/>
      <c r="D279" s="10"/>
      <c r="E279" s="125"/>
      <c r="F279" s="54"/>
      <c r="G279" s="10"/>
      <c r="H279" s="10"/>
      <c r="I279" s="10"/>
      <c r="J279" s="10"/>
      <c r="K279" s="10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>
      <c r="A280" s="2"/>
      <c r="B280" s="10"/>
      <c r="C280" s="10"/>
      <c r="D280" s="10"/>
      <c r="E280" s="125"/>
      <c r="F280" s="54"/>
      <c r="G280" s="10"/>
      <c r="H280" s="10"/>
      <c r="I280" s="10"/>
      <c r="J280" s="10"/>
      <c r="K280" s="10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>
      <c r="A281" s="2"/>
      <c r="B281" s="10"/>
      <c r="C281" s="10"/>
      <c r="D281" s="10"/>
      <c r="E281" s="125"/>
      <c r="F281" s="54"/>
      <c r="G281" s="10"/>
      <c r="H281" s="10"/>
      <c r="I281" s="10"/>
      <c r="J281" s="10"/>
      <c r="K281" s="10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>
      <c r="A282" s="2"/>
      <c r="B282" s="10"/>
      <c r="C282" s="10"/>
      <c r="D282" s="10"/>
      <c r="E282" s="125"/>
      <c r="F282" s="54"/>
      <c r="G282" s="10"/>
      <c r="H282" s="10"/>
      <c r="I282" s="10"/>
      <c r="J282" s="10"/>
      <c r="K282" s="10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>
      <c r="A283" s="2"/>
      <c r="B283" s="10"/>
      <c r="C283" s="10"/>
      <c r="D283" s="10"/>
      <c r="E283" s="125"/>
      <c r="F283" s="54"/>
      <c r="G283" s="10"/>
      <c r="H283" s="10"/>
      <c r="I283" s="10"/>
      <c r="J283" s="10"/>
      <c r="K283" s="10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  <row r="1001" spans="1:26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</row>
  </sheetData>
  <autoFilter ref="A1:K252" xr:uid="{00000000-0009-0000-0000-000005000000}"/>
  <dataValidations count="3">
    <dataValidation type="list" allowBlank="1" showErrorMessage="1" sqref="K169:K190 K192:K283" xr:uid="{00000000-0002-0000-0500-000000000000}">
      <formula1>"Grecia,Yetsica,Fabiola,Cliente,Marco Ochoa"</formula1>
    </dataValidation>
    <dataValidation type="list" allowBlank="1" showErrorMessage="1" sqref="F2:F283" xr:uid="{00000000-0002-0000-0500-000001000000}">
      <formula1>"Facebook,Pagina Web,Llamada,-"</formula1>
    </dataValidation>
    <dataValidation type="list" allowBlank="1" showErrorMessage="1" sqref="E2:E283" xr:uid="{00000000-0002-0000-0500-000002000000}">
      <formula1>"Limpezalia,Bien Tiza,Universidad en casa,3 Honor Clase,Importa Medic,Psicologo de Lima,Apu Abogados,Bandera Profesor de Matemáticas en Lima,Mi Profe,Limpieza de Departamnetos Ya!,Dioses del Piso,Don Lavado de Muebles,Funeraria,Deseo clic"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069A-E5D5-4DAD-B81D-E99349BD9E1E}">
  <dimension ref="A1:C25"/>
  <sheetViews>
    <sheetView workbookViewId="0">
      <selection activeCell="F23" sqref="F23"/>
    </sheetView>
  </sheetViews>
  <sheetFormatPr baseColWidth="10" defaultRowHeight="13.2"/>
  <cols>
    <col min="2" max="2" width="35.33203125" bestFit="1" customWidth="1"/>
  </cols>
  <sheetData>
    <row r="1" spans="1:3">
      <c r="A1" s="191" t="s">
        <v>15</v>
      </c>
      <c r="B1" s="191" t="s">
        <v>19</v>
      </c>
      <c r="C1" s="191" t="s">
        <v>2662</v>
      </c>
    </row>
    <row r="2" spans="1:3">
      <c r="A2" s="42">
        <v>45602</v>
      </c>
      <c r="B2" s="10" t="s">
        <v>2665</v>
      </c>
      <c r="C2" s="10">
        <f>64+2</f>
        <v>66</v>
      </c>
    </row>
    <row r="3" spans="1:3">
      <c r="A3" s="42">
        <v>45604</v>
      </c>
      <c r="B3" s="10" t="s">
        <v>2668</v>
      </c>
      <c r="C3" s="10">
        <v>40</v>
      </c>
    </row>
    <row r="4" spans="1:3">
      <c r="A4" s="42">
        <v>45608</v>
      </c>
      <c r="B4" s="10" t="s">
        <v>2671</v>
      </c>
      <c r="C4" s="10">
        <f>487.71+2</f>
        <v>489.71</v>
      </c>
    </row>
    <row r="5" spans="1:3">
      <c r="A5" s="42">
        <v>45608</v>
      </c>
      <c r="B5" s="10" t="s">
        <v>2673</v>
      </c>
      <c r="C5" s="10">
        <v>548</v>
      </c>
    </row>
    <row r="6" spans="1:3">
      <c r="A6" s="42">
        <v>45609</v>
      </c>
      <c r="B6" s="10" t="s">
        <v>2675</v>
      </c>
      <c r="C6" s="10">
        <v>50</v>
      </c>
    </row>
    <row r="7" spans="1:3">
      <c r="A7" s="42">
        <v>45610</v>
      </c>
      <c r="B7" s="10" t="s">
        <v>2679</v>
      </c>
      <c r="C7" s="10">
        <v>7</v>
      </c>
    </row>
    <row r="8" spans="1:3">
      <c r="A8" s="42">
        <v>45611</v>
      </c>
      <c r="B8" s="10" t="s">
        <v>2681</v>
      </c>
      <c r="C8" s="10">
        <v>170</v>
      </c>
    </row>
    <row r="9" spans="1:3">
      <c r="A9" s="42">
        <v>45614</v>
      </c>
      <c r="B9" s="10" t="s">
        <v>2684</v>
      </c>
      <c r="C9" s="10">
        <v>145</v>
      </c>
    </row>
    <row r="10" spans="1:3">
      <c r="A10" s="42">
        <v>45619</v>
      </c>
      <c r="B10" s="10" t="s">
        <v>2687</v>
      </c>
      <c r="C10" s="10">
        <v>50</v>
      </c>
    </row>
    <row r="11" spans="1:3">
      <c r="A11" s="42">
        <v>45619</v>
      </c>
      <c r="B11" s="10" t="s">
        <v>2688</v>
      </c>
      <c r="C11" s="10">
        <v>2</v>
      </c>
    </row>
    <row r="12" spans="1:3">
      <c r="A12" s="42">
        <v>45619</v>
      </c>
      <c r="B12" s="10" t="s">
        <v>2692</v>
      </c>
      <c r="C12" s="10">
        <v>256</v>
      </c>
    </row>
    <row r="13" spans="1:3">
      <c r="A13" s="42">
        <v>45624</v>
      </c>
      <c r="B13" s="10" t="s">
        <v>2696</v>
      </c>
      <c r="C13" s="10">
        <v>120</v>
      </c>
    </row>
    <row r="14" spans="1:3">
      <c r="A14" s="42">
        <v>45624</v>
      </c>
      <c r="B14" s="10" t="s">
        <v>13</v>
      </c>
      <c r="C14" s="10">
        <v>26.6</v>
      </c>
    </row>
    <row r="15" spans="1:3">
      <c r="A15" s="42">
        <v>45630</v>
      </c>
      <c r="B15" s="10" t="s">
        <v>2703</v>
      </c>
      <c r="C15" s="10">
        <v>97.17</v>
      </c>
    </row>
    <row r="16" spans="1:3">
      <c r="A16" s="42">
        <v>45630</v>
      </c>
      <c r="B16" s="10" t="s">
        <v>2706</v>
      </c>
      <c r="C16" s="10">
        <v>27</v>
      </c>
    </row>
    <row r="17" spans="1:3">
      <c r="A17" s="42">
        <v>45631</v>
      </c>
      <c r="B17" s="10" t="s">
        <v>2710</v>
      </c>
      <c r="C17" s="10">
        <v>60</v>
      </c>
    </row>
    <row r="18" spans="1:3">
      <c r="A18" s="42">
        <v>45631</v>
      </c>
      <c r="B18" s="10" t="s">
        <v>2713</v>
      </c>
      <c r="C18" s="10">
        <v>719</v>
      </c>
    </row>
    <row r="19" spans="1:3">
      <c r="A19" s="42">
        <v>45631</v>
      </c>
      <c r="B19" s="10" t="s">
        <v>2715</v>
      </c>
      <c r="C19" s="10">
        <v>240</v>
      </c>
    </row>
    <row r="20" spans="1:3">
      <c r="A20" s="42">
        <v>45636</v>
      </c>
      <c r="B20" s="10" t="s">
        <v>2717</v>
      </c>
      <c r="C20" s="10">
        <v>50</v>
      </c>
    </row>
    <row r="21" spans="1:3">
      <c r="A21" s="42">
        <v>45645</v>
      </c>
      <c r="B21" s="10" t="s">
        <v>2719</v>
      </c>
      <c r="C21" s="10">
        <v>554</v>
      </c>
    </row>
    <row r="22" spans="1:3">
      <c r="A22" s="42">
        <v>45646</v>
      </c>
      <c r="B22" s="10" t="s">
        <v>2723</v>
      </c>
      <c r="C22" s="10">
        <v>120</v>
      </c>
    </row>
    <row r="23" spans="1:3">
      <c r="A23" s="42">
        <v>45652</v>
      </c>
      <c r="B23" s="10" t="s">
        <v>2726</v>
      </c>
      <c r="C23" s="10">
        <v>40</v>
      </c>
    </row>
    <row r="24" spans="1:3">
      <c r="A24" s="42">
        <v>45654</v>
      </c>
      <c r="B24" s="10" t="s">
        <v>2713</v>
      </c>
      <c r="C24" s="10">
        <v>171</v>
      </c>
    </row>
    <row r="25" spans="1:3">
      <c r="A25" s="42">
        <v>45657</v>
      </c>
      <c r="B25" s="10" t="s">
        <v>2733</v>
      </c>
      <c r="C25" s="10">
        <v>9.6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8EEAF-1143-4156-BE17-1B6E6C0B6459}">
  <dimension ref="A1:B303"/>
  <sheetViews>
    <sheetView workbookViewId="0">
      <selection activeCell="G7" sqref="G7"/>
    </sheetView>
  </sheetViews>
  <sheetFormatPr baseColWidth="10" defaultRowHeight="13.2"/>
  <cols>
    <col min="2" max="2" width="17.77734375" customWidth="1"/>
  </cols>
  <sheetData>
    <row r="1" spans="1:2">
      <c r="A1" s="1" t="s">
        <v>15</v>
      </c>
      <c r="B1" s="1" t="s">
        <v>0</v>
      </c>
    </row>
    <row r="2" spans="1:2">
      <c r="A2" s="42">
        <v>45598</v>
      </c>
      <c r="B2" s="10">
        <v>20</v>
      </c>
    </row>
    <row r="3" spans="1:2">
      <c r="A3" s="42">
        <v>45598</v>
      </c>
      <c r="B3" s="10">
        <v>15</v>
      </c>
    </row>
    <row r="4" spans="1:2">
      <c r="A4" s="42">
        <v>45600</v>
      </c>
      <c r="B4" s="10">
        <v>14.5</v>
      </c>
    </row>
    <row r="5" spans="1:2">
      <c r="A5" s="42">
        <v>45600</v>
      </c>
      <c r="B5" s="10">
        <v>12</v>
      </c>
    </row>
    <row r="6" spans="1:2">
      <c r="A6" s="42">
        <v>45600</v>
      </c>
      <c r="B6" s="10">
        <v>10</v>
      </c>
    </row>
    <row r="7" spans="1:2">
      <c r="A7" s="42">
        <v>45600</v>
      </c>
      <c r="B7" s="10">
        <v>10</v>
      </c>
    </row>
    <row r="8" spans="1:2">
      <c r="A8" s="42">
        <v>45600</v>
      </c>
      <c r="B8" s="10">
        <v>13.5</v>
      </c>
    </row>
    <row r="9" spans="1:2">
      <c r="A9" s="42">
        <v>45600</v>
      </c>
      <c r="B9" s="10">
        <v>19.5</v>
      </c>
    </row>
    <row r="10" spans="1:2">
      <c r="A10" s="42">
        <v>45600</v>
      </c>
      <c r="B10" s="10">
        <v>14.5</v>
      </c>
    </row>
    <row r="11" spans="1:2">
      <c r="A11" s="42">
        <v>45600</v>
      </c>
      <c r="B11" s="10">
        <v>15</v>
      </c>
    </row>
    <row r="12" spans="1:2">
      <c r="A12" s="42">
        <v>45600</v>
      </c>
      <c r="B12" s="10">
        <v>10</v>
      </c>
    </row>
    <row r="13" spans="1:2">
      <c r="A13" s="42">
        <v>45600</v>
      </c>
      <c r="B13" s="10">
        <v>13.5</v>
      </c>
    </row>
    <row r="14" spans="1:2">
      <c r="A14" s="42">
        <v>45600</v>
      </c>
      <c r="B14" s="10">
        <v>6.5</v>
      </c>
    </row>
    <row r="15" spans="1:2">
      <c r="A15" s="42">
        <v>45601</v>
      </c>
      <c r="B15" s="10">
        <v>22</v>
      </c>
    </row>
    <row r="16" spans="1:2">
      <c r="A16" s="42">
        <v>45601</v>
      </c>
      <c r="B16" s="10">
        <v>52.5</v>
      </c>
    </row>
    <row r="17" spans="1:2">
      <c r="A17" s="42">
        <v>45601</v>
      </c>
      <c r="B17" s="10">
        <v>16</v>
      </c>
    </row>
    <row r="18" spans="1:2">
      <c r="A18" s="42">
        <v>45601</v>
      </c>
      <c r="B18" s="10">
        <v>14</v>
      </c>
    </row>
    <row r="19" spans="1:2">
      <c r="A19" s="42">
        <v>45601</v>
      </c>
      <c r="B19" s="10">
        <v>57.5</v>
      </c>
    </row>
    <row r="20" spans="1:2">
      <c r="A20" s="42">
        <v>45602</v>
      </c>
      <c r="B20" s="10">
        <v>12</v>
      </c>
    </row>
    <row r="21" spans="1:2">
      <c r="A21" s="42">
        <v>45602</v>
      </c>
      <c r="B21" s="10">
        <v>12</v>
      </c>
    </row>
    <row r="22" spans="1:2">
      <c r="A22" s="42">
        <v>45602</v>
      </c>
      <c r="B22" s="10">
        <v>22</v>
      </c>
    </row>
    <row r="23" spans="1:2">
      <c r="A23" s="42">
        <v>45602</v>
      </c>
      <c r="B23" s="10">
        <v>20</v>
      </c>
    </row>
    <row r="24" spans="1:2">
      <c r="A24" s="42">
        <v>45602</v>
      </c>
      <c r="B24" s="10">
        <v>10</v>
      </c>
    </row>
    <row r="25" spans="1:2">
      <c r="A25" s="42">
        <v>45602</v>
      </c>
      <c r="B25" s="10">
        <v>10</v>
      </c>
    </row>
    <row r="26" spans="1:2">
      <c r="A26" s="42">
        <v>45602</v>
      </c>
      <c r="B26" s="10">
        <v>14</v>
      </c>
    </row>
    <row r="27" spans="1:2">
      <c r="A27" s="42">
        <v>45602</v>
      </c>
      <c r="B27" s="10">
        <v>10</v>
      </c>
    </row>
    <row r="28" spans="1:2">
      <c r="A28" s="42">
        <v>45602</v>
      </c>
      <c r="B28" s="10">
        <v>13</v>
      </c>
    </row>
    <row r="29" spans="1:2">
      <c r="A29" s="42">
        <v>45602</v>
      </c>
      <c r="B29" s="10">
        <v>13</v>
      </c>
    </row>
    <row r="30" spans="1:2">
      <c r="A30" s="42">
        <v>45603</v>
      </c>
      <c r="B30" s="10">
        <v>21</v>
      </c>
    </row>
    <row r="31" spans="1:2">
      <c r="A31" s="42">
        <v>45603</v>
      </c>
      <c r="B31" s="10">
        <v>15</v>
      </c>
    </row>
    <row r="32" spans="1:2">
      <c r="A32" s="42">
        <v>45603</v>
      </c>
      <c r="B32" s="10">
        <v>26</v>
      </c>
    </row>
    <row r="33" spans="1:2">
      <c r="A33" s="42">
        <v>45603</v>
      </c>
      <c r="B33" s="10">
        <v>26.5</v>
      </c>
    </row>
    <row r="34" spans="1:2">
      <c r="A34" s="42">
        <v>45603</v>
      </c>
      <c r="B34" s="10">
        <v>12</v>
      </c>
    </row>
    <row r="35" spans="1:2">
      <c r="A35" s="42">
        <v>45603</v>
      </c>
      <c r="B35" s="10">
        <v>14.5</v>
      </c>
    </row>
    <row r="36" spans="1:2">
      <c r="A36" s="42">
        <v>45604</v>
      </c>
      <c r="B36" s="10">
        <v>22.3</v>
      </c>
    </row>
    <row r="37" spans="1:2">
      <c r="A37" s="42">
        <v>45604</v>
      </c>
      <c r="B37" s="10">
        <v>35.5</v>
      </c>
    </row>
    <row r="38" spans="1:2">
      <c r="A38" s="42">
        <v>45605</v>
      </c>
      <c r="B38" s="10">
        <v>38.5</v>
      </c>
    </row>
    <row r="39" spans="1:2">
      <c r="A39" s="42">
        <v>45605</v>
      </c>
      <c r="B39" s="10">
        <v>34.5</v>
      </c>
    </row>
    <row r="40" spans="1:2">
      <c r="A40" s="42">
        <v>45605</v>
      </c>
      <c r="B40" s="10">
        <v>26.5</v>
      </c>
    </row>
    <row r="41" spans="1:2">
      <c r="A41" s="42">
        <v>45605</v>
      </c>
      <c r="B41" s="10">
        <v>25.5</v>
      </c>
    </row>
    <row r="42" spans="1:2">
      <c r="A42" s="42">
        <v>45605</v>
      </c>
      <c r="B42" s="10">
        <v>18</v>
      </c>
    </row>
    <row r="43" spans="1:2">
      <c r="A43" s="42">
        <v>45605</v>
      </c>
      <c r="B43" s="10">
        <v>17</v>
      </c>
    </row>
    <row r="44" spans="1:2">
      <c r="A44" s="42">
        <v>45607</v>
      </c>
      <c r="B44" s="10">
        <v>15</v>
      </c>
    </row>
    <row r="45" spans="1:2">
      <c r="A45" s="42">
        <v>45607</v>
      </c>
      <c r="B45" s="10">
        <v>17</v>
      </c>
    </row>
    <row r="46" spans="1:2">
      <c r="A46" s="42">
        <v>45607</v>
      </c>
      <c r="B46" s="10">
        <v>14.5</v>
      </c>
    </row>
    <row r="47" spans="1:2">
      <c r="A47" s="42">
        <v>45607</v>
      </c>
      <c r="B47" s="10">
        <v>15</v>
      </c>
    </row>
    <row r="48" spans="1:2">
      <c r="A48" s="42">
        <v>45608</v>
      </c>
      <c r="B48" s="10">
        <v>10</v>
      </c>
    </row>
    <row r="49" spans="1:2">
      <c r="A49" s="42">
        <v>45608</v>
      </c>
      <c r="B49" s="10">
        <v>9</v>
      </c>
    </row>
    <row r="50" spans="1:2">
      <c r="A50" s="42">
        <v>45608</v>
      </c>
      <c r="B50" s="10">
        <v>2</v>
      </c>
    </row>
    <row r="51" spans="1:2">
      <c r="A51" s="42">
        <v>45608</v>
      </c>
      <c r="B51" s="10">
        <v>10</v>
      </c>
    </row>
    <row r="52" spans="1:2">
      <c r="A52" s="42">
        <v>45608</v>
      </c>
      <c r="B52" s="10">
        <v>9</v>
      </c>
    </row>
    <row r="53" spans="1:2">
      <c r="A53" s="42">
        <v>45608</v>
      </c>
      <c r="B53" s="10">
        <v>8</v>
      </c>
    </row>
    <row r="54" spans="1:2">
      <c r="A54" s="42">
        <v>45609</v>
      </c>
      <c r="B54" s="10">
        <v>32.5</v>
      </c>
    </row>
    <row r="55" spans="1:2">
      <c r="A55" s="42">
        <v>45609</v>
      </c>
      <c r="B55" s="10">
        <v>40</v>
      </c>
    </row>
    <row r="56" spans="1:2">
      <c r="A56" s="42">
        <v>45609</v>
      </c>
      <c r="B56" s="10">
        <v>32</v>
      </c>
    </row>
    <row r="57" spans="1:2">
      <c r="A57" s="42">
        <v>45609</v>
      </c>
      <c r="B57" s="10">
        <v>40</v>
      </c>
    </row>
    <row r="58" spans="1:2">
      <c r="A58" s="42">
        <v>45610</v>
      </c>
      <c r="B58" s="10">
        <v>12</v>
      </c>
    </row>
    <row r="59" spans="1:2">
      <c r="A59" s="42">
        <v>45610</v>
      </c>
      <c r="B59" s="10">
        <v>26.5</v>
      </c>
    </row>
    <row r="60" spans="1:2">
      <c r="A60" s="42">
        <v>45610</v>
      </c>
      <c r="B60" s="10">
        <v>11</v>
      </c>
    </row>
    <row r="61" spans="1:2">
      <c r="A61" s="42">
        <v>45610</v>
      </c>
      <c r="B61" s="10">
        <v>25</v>
      </c>
    </row>
    <row r="62" spans="1:2">
      <c r="A62" s="42">
        <v>45610</v>
      </c>
      <c r="B62" s="10">
        <v>13.5</v>
      </c>
    </row>
    <row r="63" spans="1:2">
      <c r="A63" s="42">
        <v>45610</v>
      </c>
      <c r="B63" s="10">
        <v>12</v>
      </c>
    </row>
    <row r="64" spans="1:2">
      <c r="A64" s="42">
        <v>45610</v>
      </c>
      <c r="B64" s="10">
        <v>31</v>
      </c>
    </row>
    <row r="65" spans="1:2">
      <c r="A65" s="42">
        <v>45610</v>
      </c>
      <c r="B65" s="10">
        <v>12</v>
      </c>
    </row>
    <row r="66" spans="1:2">
      <c r="A66" s="42">
        <v>45610</v>
      </c>
      <c r="B66" s="10">
        <v>24</v>
      </c>
    </row>
    <row r="67" spans="1:2">
      <c r="A67" s="42">
        <v>45610</v>
      </c>
      <c r="B67" s="10">
        <v>30</v>
      </c>
    </row>
    <row r="68" spans="1:2">
      <c r="A68" s="42">
        <v>45610</v>
      </c>
      <c r="B68" s="10">
        <v>11</v>
      </c>
    </row>
    <row r="69" spans="1:2">
      <c r="A69" s="42">
        <v>45610</v>
      </c>
      <c r="B69" s="10">
        <v>29.5</v>
      </c>
    </row>
    <row r="70" spans="1:2">
      <c r="A70" s="42">
        <v>45611</v>
      </c>
      <c r="B70" s="10">
        <v>6</v>
      </c>
    </row>
    <row r="71" spans="1:2">
      <c r="A71" s="42">
        <v>45611</v>
      </c>
      <c r="B71" s="10">
        <v>7</v>
      </c>
    </row>
    <row r="72" spans="1:2">
      <c r="A72" s="42">
        <v>45611</v>
      </c>
      <c r="B72" s="10">
        <v>16</v>
      </c>
    </row>
    <row r="73" spans="1:2">
      <c r="A73" s="42">
        <v>45611</v>
      </c>
      <c r="B73" s="10">
        <v>16.5</v>
      </c>
    </row>
    <row r="74" spans="1:2">
      <c r="A74" s="42">
        <v>45612</v>
      </c>
      <c r="B74" s="10">
        <v>16.5</v>
      </c>
    </row>
    <row r="75" spans="1:2">
      <c r="A75" s="42">
        <v>45612</v>
      </c>
      <c r="B75" s="10">
        <v>7</v>
      </c>
    </row>
    <row r="76" spans="1:2">
      <c r="A76" s="42">
        <v>45612</v>
      </c>
      <c r="B76" s="10">
        <v>16</v>
      </c>
    </row>
    <row r="77" spans="1:2">
      <c r="A77" s="42">
        <v>45612</v>
      </c>
      <c r="B77" s="10">
        <v>6</v>
      </c>
    </row>
    <row r="78" spans="1:2">
      <c r="A78" s="42">
        <v>45614</v>
      </c>
      <c r="B78" s="10">
        <v>7.5</v>
      </c>
    </row>
    <row r="79" spans="1:2">
      <c r="A79" s="42">
        <v>45614</v>
      </c>
      <c r="B79" s="10">
        <v>11</v>
      </c>
    </row>
    <row r="80" spans="1:2">
      <c r="A80" s="42">
        <v>45614</v>
      </c>
      <c r="B80" s="10">
        <v>6</v>
      </c>
    </row>
    <row r="81" spans="1:2">
      <c r="A81" s="42">
        <v>45614</v>
      </c>
      <c r="B81" s="10">
        <v>19.5</v>
      </c>
    </row>
    <row r="82" spans="1:2">
      <c r="A82" s="42">
        <v>45614</v>
      </c>
      <c r="B82" s="10">
        <v>12</v>
      </c>
    </row>
    <row r="83" spans="1:2">
      <c r="A83" s="42">
        <v>45614</v>
      </c>
      <c r="B83" s="10">
        <v>16</v>
      </c>
    </row>
    <row r="84" spans="1:2">
      <c r="A84" s="42">
        <v>45614</v>
      </c>
      <c r="B84" s="10">
        <v>22.5</v>
      </c>
    </row>
    <row r="85" spans="1:2">
      <c r="A85" s="42">
        <v>45614</v>
      </c>
      <c r="B85" s="10">
        <v>25</v>
      </c>
    </row>
    <row r="86" spans="1:2">
      <c r="A86" s="42">
        <v>45614</v>
      </c>
      <c r="B86" s="10">
        <v>19</v>
      </c>
    </row>
    <row r="87" spans="1:2">
      <c r="A87" s="42">
        <v>45614</v>
      </c>
      <c r="B87" s="10">
        <v>13.5</v>
      </c>
    </row>
    <row r="88" spans="1:2">
      <c r="A88" s="42">
        <v>45615</v>
      </c>
      <c r="B88" s="10">
        <v>19</v>
      </c>
    </row>
    <row r="89" spans="1:2">
      <c r="A89" s="42">
        <v>45615</v>
      </c>
      <c r="B89" s="10">
        <v>11</v>
      </c>
    </row>
    <row r="90" spans="1:2">
      <c r="A90" s="42">
        <v>45615</v>
      </c>
      <c r="B90" s="10">
        <v>13</v>
      </c>
    </row>
    <row r="91" spans="1:2">
      <c r="A91" s="42">
        <v>45615</v>
      </c>
      <c r="B91" s="10">
        <v>14.5</v>
      </c>
    </row>
    <row r="92" spans="1:2">
      <c r="A92" s="42">
        <v>45616</v>
      </c>
      <c r="B92" s="10">
        <v>29</v>
      </c>
    </row>
    <row r="93" spans="1:2">
      <c r="A93" s="42">
        <v>45616</v>
      </c>
      <c r="B93" s="10">
        <v>30</v>
      </c>
    </row>
    <row r="94" spans="1:2">
      <c r="A94" s="42">
        <v>45616</v>
      </c>
      <c r="B94" s="10">
        <v>12</v>
      </c>
    </row>
    <row r="95" spans="1:2">
      <c r="A95" s="42">
        <v>45616</v>
      </c>
      <c r="B95" s="10">
        <v>25</v>
      </c>
    </row>
    <row r="96" spans="1:2">
      <c r="A96" s="42">
        <v>45616</v>
      </c>
      <c r="B96" s="10">
        <v>19.5</v>
      </c>
    </row>
    <row r="97" spans="1:2">
      <c r="A97" s="42">
        <v>45616</v>
      </c>
      <c r="B97" s="10">
        <v>9</v>
      </c>
    </row>
    <row r="98" spans="1:2">
      <c r="A98" s="42">
        <v>45616</v>
      </c>
      <c r="B98" s="10">
        <v>25</v>
      </c>
    </row>
    <row r="99" spans="1:2">
      <c r="A99" s="42">
        <v>45617</v>
      </c>
      <c r="B99" s="10">
        <v>25.5</v>
      </c>
    </row>
    <row r="100" spans="1:2">
      <c r="A100" s="42">
        <v>45617</v>
      </c>
      <c r="B100" s="10">
        <v>25</v>
      </c>
    </row>
    <row r="101" spans="1:2">
      <c r="A101" s="42">
        <v>45618</v>
      </c>
      <c r="B101" s="10">
        <v>22</v>
      </c>
    </row>
    <row r="102" spans="1:2">
      <c r="A102" s="42">
        <v>45618</v>
      </c>
      <c r="B102" s="8">
        <v>25</v>
      </c>
    </row>
    <row r="103" spans="1:2">
      <c r="A103" s="42">
        <v>45618</v>
      </c>
      <c r="B103" s="3">
        <v>6.5</v>
      </c>
    </row>
    <row r="104" spans="1:2">
      <c r="A104" s="42">
        <v>45618</v>
      </c>
      <c r="B104" s="10">
        <v>20.5</v>
      </c>
    </row>
    <row r="105" spans="1:2">
      <c r="A105" s="42">
        <v>45619</v>
      </c>
      <c r="B105" s="10">
        <v>57.5</v>
      </c>
    </row>
    <row r="106" spans="1:2">
      <c r="A106" s="42">
        <v>45619</v>
      </c>
      <c r="B106" s="10">
        <v>18</v>
      </c>
    </row>
    <row r="107" spans="1:2">
      <c r="A107" s="42">
        <v>45619</v>
      </c>
      <c r="B107" s="10">
        <v>16</v>
      </c>
    </row>
    <row r="108" spans="1:2">
      <c r="A108" s="42">
        <v>45619</v>
      </c>
      <c r="B108" s="2">
        <v>23</v>
      </c>
    </row>
    <row r="109" spans="1:2">
      <c r="A109" s="42">
        <v>45619</v>
      </c>
      <c r="B109" s="10">
        <v>43.5</v>
      </c>
    </row>
    <row r="110" spans="1:2">
      <c r="A110" s="42">
        <v>45619</v>
      </c>
      <c r="B110" s="10">
        <v>10</v>
      </c>
    </row>
    <row r="111" spans="1:2">
      <c r="A111" s="42">
        <v>45619</v>
      </c>
      <c r="B111" s="10">
        <v>2</v>
      </c>
    </row>
    <row r="112" spans="1:2">
      <c r="A112" s="42">
        <v>45619</v>
      </c>
      <c r="B112" s="10">
        <v>28.5</v>
      </c>
    </row>
    <row r="113" spans="1:2">
      <c r="A113" s="42">
        <v>45621</v>
      </c>
      <c r="B113" s="10">
        <v>14.5</v>
      </c>
    </row>
    <row r="114" spans="1:2">
      <c r="A114" s="42">
        <v>45621</v>
      </c>
      <c r="B114" s="10">
        <v>12</v>
      </c>
    </row>
    <row r="115" spans="1:2">
      <c r="A115" s="42">
        <v>45621</v>
      </c>
      <c r="B115" s="10">
        <v>53.5</v>
      </c>
    </row>
    <row r="116" spans="1:2">
      <c r="A116" s="42">
        <v>45621</v>
      </c>
      <c r="B116" s="10">
        <v>20</v>
      </c>
    </row>
    <row r="117" spans="1:2">
      <c r="A117" s="42">
        <v>45621</v>
      </c>
      <c r="B117" s="10">
        <v>60</v>
      </c>
    </row>
    <row r="118" spans="1:2">
      <c r="A118" s="42">
        <v>45621</v>
      </c>
      <c r="B118" s="10">
        <v>20.5</v>
      </c>
    </row>
    <row r="119" spans="1:2">
      <c r="A119" s="42">
        <v>45622</v>
      </c>
      <c r="B119" s="10">
        <v>23</v>
      </c>
    </row>
    <row r="120" spans="1:2">
      <c r="A120" s="42">
        <v>45622</v>
      </c>
      <c r="B120" s="10">
        <v>20</v>
      </c>
    </row>
    <row r="121" spans="1:2">
      <c r="A121" s="42">
        <v>45622</v>
      </c>
      <c r="B121" s="10">
        <v>13</v>
      </c>
    </row>
    <row r="122" spans="1:2">
      <c r="A122" s="42">
        <v>45622</v>
      </c>
      <c r="B122" s="10">
        <v>10.5</v>
      </c>
    </row>
    <row r="123" spans="1:2">
      <c r="A123" s="42">
        <v>45622</v>
      </c>
      <c r="B123" s="10">
        <v>9</v>
      </c>
    </row>
    <row r="124" spans="1:2">
      <c r="A124" s="42">
        <v>45622</v>
      </c>
      <c r="B124" s="10">
        <v>10</v>
      </c>
    </row>
    <row r="125" spans="1:2">
      <c r="A125" s="42">
        <v>45622</v>
      </c>
      <c r="B125" s="10">
        <v>10</v>
      </c>
    </row>
    <row r="126" spans="1:2">
      <c r="A126" s="42">
        <v>45622</v>
      </c>
      <c r="B126" s="10">
        <v>15</v>
      </c>
    </row>
    <row r="127" spans="1:2">
      <c r="A127" s="42">
        <v>45623</v>
      </c>
      <c r="B127" s="10">
        <v>20.5</v>
      </c>
    </row>
    <row r="128" spans="1:2">
      <c r="A128" s="42">
        <v>45623</v>
      </c>
      <c r="B128" s="10">
        <v>52.1</v>
      </c>
    </row>
    <row r="129" spans="1:2">
      <c r="A129" s="42">
        <v>45623</v>
      </c>
      <c r="B129" s="10">
        <v>9</v>
      </c>
    </row>
    <row r="130" spans="1:2">
      <c r="A130" s="42">
        <v>45623</v>
      </c>
      <c r="B130" s="10">
        <v>10</v>
      </c>
    </row>
    <row r="131" spans="1:2">
      <c r="A131" s="42">
        <v>45623</v>
      </c>
      <c r="B131" s="10">
        <v>52.1</v>
      </c>
    </row>
    <row r="132" spans="1:2">
      <c r="A132" s="42">
        <v>45623</v>
      </c>
      <c r="B132" s="10">
        <v>13</v>
      </c>
    </row>
    <row r="133" spans="1:2">
      <c r="A133" s="42">
        <v>45623</v>
      </c>
      <c r="B133" s="10">
        <v>20</v>
      </c>
    </row>
    <row r="134" spans="1:2">
      <c r="A134" s="42">
        <v>45624</v>
      </c>
      <c r="B134" s="10">
        <v>18</v>
      </c>
    </row>
    <row r="135" spans="1:2">
      <c r="A135" s="42">
        <v>45624</v>
      </c>
      <c r="B135" s="10">
        <v>12</v>
      </c>
    </row>
    <row r="136" spans="1:2">
      <c r="A136" s="42">
        <v>45624</v>
      </c>
      <c r="B136" s="10">
        <v>23</v>
      </c>
    </row>
    <row r="137" spans="1:2">
      <c r="A137" s="42">
        <v>45624</v>
      </c>
      <c r="B137" s="10">
        <v>28</v>
      </c>
    </row>
    <row r="138" spans="1:2">
      <c r="A138" s="42">
        <v>45624</v>
      </c>
      <c r="B138" s="10">
        <v>34</v>
      </c>
    </row>
    <row r="139" spans="1:2">
      <c r="A139" s="42">
        <v>45625</v>
      </c>
      <c r="B139" s="10">
        <v>12</v>
      </c>
    </row>
    <row r="140" spans="1:2">
      <c r="A140" s="42">
        <v>45625</v>
      </c>
      <c r="B140" s="10">
        <v>34.5</v>
      </c>
    </row>
    <row r="141" spans="1:2">
      <c r="A141" s="42">
        <v>45625</v>
      </c>
      <c r="B141" s="10">
        <v>12</v>
      </c>
    </row>
    <row r="142" spans="1:2">
      <c r="A142" s="42">
        <v>45625</v>
      </c>
      <c r="B142" s="10">
        <v>15</v>
      </c>
    </row>
    <row r="143" spans="1:2">
      <c r="A143" s="42">
        <v>45625</v>
      </c>
      <c r="B143" s="10">
        <v>18</v>
      </c>
    </row>
    <row r="144" spans="1:2">
      <c r="A144" s="42">
        <v>45625</v>
      </c>
      <c r="B144" s="10">
        <v>38</v>
      </c>
    </row>
    <row r="145" spans="1:2">
      <c r="A145" s="42">
        <v>45625</v>
      </c>
      <c r="B145" s="10">
        <v>15</v>
      </c>
    </row>
    <row r="146" spans="1:2">
      <c r="A146" s="42">
        <v>45625</v>
      </c>
      <c r="B146" s="10">
        <v>16</v>
      </c>
    </row>
    <row r="147" spans="1:2">
      <c r="A147" s="42">
        <v>45626</v>
      </c>
      <c r="B147" s="10">
        <v>24</v>
      </c>
    </row>
    <row r="148" spans="1:2">
      <c r="A148" s="42">
        <v>45626</v>
      </c>
      <c r="B148" s="10">
        <v>14.5</v>
      </c>
    </row>
    <row r="149" spans="1:2">
      <c r="A149" s="42">
        <v>45626</v>
      </c>
      <c r="B149" s="10">
        <v>11</v>
      </c>
    </row>
    <row r="150" spans="1:2">
      <c r="A150" s="42">
        <v>45626</v>
      </c>
      <c r="B150" s="3">
        <v>40</v>
      </c>
    </row>
    <row r="151" spans="1:2">
      <c r="A151" s="42">
        <v>45626</v>
      </c>
      <c r="B151" s="10">
        <v>20</v>
      </c>
    </row>
    <row r="152" spans="1:2">
      <c r="A152" s="42">
        <v>45626</v>
      </c>
      <c r="B152" s="10">
        <v>28</v>
      </c>
    </row>
    <row r="153" spans="1:2">
      <c r="A153" s="42">
        <v>45626</v>
      </c>
      <c r="B153" s="10">
        <v>8</v>
      </c>
    </row>
    <row r="154" spans="1:2">
      <c r="A154" s="42">
        <v>45628</v>
      </c>
      <c r="B154" s="10">
        <v>20</v>
      </c>
    </row>
    <row r="155" spans="1:2">
      <c r="A155" s="42">
        <v>45628</v>
      </c>
      <c r="B155" s="11">
        <v>12</v>
      </c>
    </row>
    <row r="156" spans="1:2">
      <c r="A156" s="227">
        <v>45628</v>
      </c>
      <c r="B156" s="219">
        <v>25</v>
      </c>
    </row>
    <row r="157" spans="1:2">
      <c r="A157" s="227">
        <v>45628</v>
      </c>
      <c r="B157" s="219">
        <v>29</v>
      </c>
    </row>
    <row r="158" spans="1:2">
      <c r="A158" s="227">
        <v>45628</v>
      </c>
      <c r="B158" s="219">
        <v>18</v>
      </c>
    </row>
    <row r="159" spans="1:2">
      <c r="A159" s="227">
        <v>45628</v>
      </c>
      <c r="B159" s="219">
        <v>15</v>
      </c>
    </row>
    <row r="160" spans="1:2">
      <c r="A160" s="227">
        <v>45628</v>
      </c>
      <c r="B160" s="219">
        <v>14</v>
      </c>
    </row>
    <row r="161" spans="1:2">
      <c r="A161" s="227">
        <v>45628</v>
      </c>
      <c r="B161" s="219">
        <v>14.5</v>
      </c>
    </row>
    <row r="162" spans="1:2">
      <c r="A162" s="227">
        <v>45628</v>
      </c>
      <c r="B162" s="219">
        <v>10</v>
      </c>
    </row>
    <row r="163" spans="1:2">
      <c r="A163" s="227">
        <v>45628</v>
      </c>
      <c r="B163" s="219">
        <v>31.5</v>
      </c>
    </row>
    <row r="164" spans="1:2">
      <c r="A164" s="227">
        <v>45628</v>
      </c>
      <c r="B164" s="219">
        <v>13</v>
      </c>
    </row>
    <row r="165" spans="1:2">
      <c r="A165" s="227">
        <v>45629</v>
      </c>
      <c r="B165" s="219">
        <v>30</v>
      </c>
    </row>
    <row r="166" spans="1:2">
      <c r="A166" s="227">
        <v>45629</v>
      </c>
      <c r="B166" s="219">
        <v>11</v>
      </c>
    </row>
    <row r="167" spans="1:2">
      <c r="A167" s="227">
        <v>45629</v>
      </c>
      <c r="B167" s="219">
        <v>20</v>
      </c>
    </row>
    <row r="168" spans="1:2">
      <c r="A168" s="227">
        <v>45629</v>
      </c>
      <c r="B168" s="219">
        <v>11</v>
      </c>
    </row>
    <row r="169" spans="1:2">
      <c r="A169" s="227">
        <v>45629</v>
      </c>
      <c r="B169" s="219">
        <v>15</v>
      </c>
    </row>
    <row r="170" spans="1:2">
      <c r="A170" s="227">
        <v>45629</v>
      </c>
      <c r="B170" s="219">
        <v>14</v>
      </c>
    </row>
    <row r="171" spans="1:2">
      <c r="A171" s="227">
        <v>45629</v>
      </c>
      <c r="B171" s="219">
        <v>18</v>
      </c>
    </row>
    <row r="172" spans="1:2">
      <c r="A172" s="227">
        <v>45629</v>
      </c>
      <c r="B172" s="219">
        <v>25</v>
      </c>
    </row>
    <row r="173" spans="1:2">
      <c r="A173" s="227">
        <v>45630</v>
      </c>
      <c r="B173" s="219">
        <v>2</v>
      </c>
    </row>
    <row r="174" spans="1:2">
      <c r="A174" s="227">
        <v>45630</v>
      </c>
      <c r="B174" s="219">
        <v>29</v>
      </c>
    </row>
    <row r="175" spans="1:2">
      <c r="A175" s="227">
        <v>45630</v>
      </c>
      <c r="B175" s="219">
        <v>13</v>
      </c>
    </row>
    <row r="176" spans="1:2">
      <c r="A176" s="227">
        <v>45630</v>
      </c>
      <c r="B176" s="219">
        <v>30</v>
      </c>
    </row>
    <row r="177" spans="1:2">
      <c r="A177" s="227">
        <v>45630</v>
      </c>
      <c r="B177" s="219">
        <v>20.5</v>
      </c>
    </row>
    <row r="178" spans="1:2">
      <c r="A178" s="227">
        <v>45630</v>
      </c>
      <c r="B178" s="219">
        <v>15</v>
      </c>
    </row>
    <row r="179" spans="1:2">
      <c r="A179" s="227">
        <v>45630</v>
      </c>
      <c r="B179" s="219">
        <v>30</v>
      </c>
    </row>
    <row r="180" spans="1:2">
      <c r="A180" s="227">
        <v>45631</v>
      </c>
      <c r="B180" s="219">
        <v>18</v>
      </c>
    </row>
    <row r="181" spans="1:2">
      <c r="A181" s="227">
        <v>45631</v>
      </c>
      <c r="B181" s="219">
        <v>25</v>
      </c>
    </row>
    <row r="182" spans="1:2">
      <c r="A182" s="227">
        <v>45631</v>
      </c>
      <c r="B182" s="219">
        <v>17</v>
      </c>
    </row>
    <row r="183" spans="1:2">
      <c r="A183" s="227">
        <v>45631</v>
      </c>
      <c r="B183" s="219">
        <v>4</v>
      </c>
    </row>
    <row r="184" spans="1:2">
      <c r="A184" s="227">
        <v>45631</v>
      </c>
      <c r="B184" s="219">
        <v>30</v>
      </c>
    </row>
    <row r="185" spans="1:2">
      <c r="A185" s="227">
        <v>45631</v>
      </c>
      <c r="B185" s="219">
        <v>10</v>
      </c>
    </row>
    <row r="186" spans="1:2">
      <c r="A186" s="227">
        <v>45631</v>
      </c>
      <c r="B186" s="219">
        <v>12</v>
      </c>
    </row>
    <row r="187" spans="1:2">
      <c r="A187" s="227">
        <v>45631</v>
      </c>
      <c r="B187" s="219">
        <v>12</v>
      </c>
    </row>
    <row r="188" spans="1:2">
      <c r="A188" s="227">
        <v>45631</v>
      </c>
      <c r="B188" s="219">
        <v>8</v>
      </c>
    </row>
    <row r="189" spans="1:2">
      <c r="A189" s="227">
        <v>45632</v>
      </c>
      <c r="B189" s="219">
        <v>11</v>
      </c>
    </row>
    <row r="190" spans="1:2">
      <c r="A190" s="227">
        <v>45632</v>
      </c>
      <c r="B190" s="219">
        <v>18</v>
      </c>
    </row>
    <row r="191" spans="1:2">
      <c r="A191" s="227">
        <v>45632</v>
      </c>
      <c r="B191" s="219">
        <v>18</v>
      </c>
    </row>
    <row r="192" spans="1:2">
      <c r="A192" s="227">
        <v>45632</v>
      </c>
      <c r="B192" s="219">
        <v>22</v>
      </c>
    </row>
    <row r="193" spans="1:2">
      <c r="A193" s="227">
        <v>45632</v>
      </c>
      <c r="B193" s="219">
        <v>16</v>
      </c>
    </row>
    <row r="194" spans="1:2">
      <c r="A194" s="227">
        <v>45632</v>
      </c>
      <c r="B194" s="219">
        <v>10</v>
      </c>
    </row>
    <row r="195" spans="1:2">
      <c r="A195" s="227">
        <v>45632</v>
      </c>
      <c r="B195" s="219">
        <v>12</v>
      </c>
    </row>
    <row r="196" spans="1:2">
      <c r="A196" s="227">
        <v>45632</v>
      </c>
      <c r="B196" s="219">
        <v>13.5</v>
      </c>
    </row>
    <row r="197" spans="1:2">
      <c r="A197" s="227">
        <v>45632</v>
      </c>
      <c r="B197" s="219">
        <v>30</v>
      </c>
    </row>
    <row r="198" spans="1:2">
      <c r="A198" s="227">
        <v>45633</v>
      </c>
      <c r="B198" s="219">
        <v>12</v>
      </c>
    </row>
    <row r="199" spans="1:2">
      <c r="A199" s="227">
        <v>45633</v>
      </c>
      <c r="B199" s="219">
        <v>20</v>
      </c>
    </row>
    <row r="200" spans="1:2">
      <c r="A200" s="227">
        <v>45633</v>
      </c>
      <c r="B200" s="219">
        <v>29.6</v>
      </c>
    </row>
    <row r="201" spans="1:2">
      <c r="A201" s="227">
        <v>45633</v>
      </c>
      <c r="B201" s="219">
        <v>30</v>
      </c>
    </row>
    <row r="202" spans="1:2">
      <c r="A202" s="227">
        <v>45633</v>
      </c>
      <c r="B202" s="219"/>
    </row>
    <row r="203" spans="1:2">
      <c r="A203" s="227">
        <v>45636</v>
      </c>
      <c r="B203" s="219">
        <v>11</v>
      </c>
    </row>
    <row r="204" spans="1:2">
      <c r="A204" s="227">
        <v>45636</v>
      </c>
      <c r="B204" s="219">
        <v>11</v>
      </c>
    </row>
    <row r="205" spans="1:2">
      <c r="A205" s="227">
        <v>45636</v>
      </c>
      <c r="B205" s="220">
        <v>8</v>
      </c>
    </row>
    <row r="206" spans="1:2">
      <c r="A206" s="227">
        <v>45636</v>
      </c>
      <c r="B206" s="219">
        <v>10</v>
      </c>
    </row>
    <row r="207" spans="1:2">
      <c r="A207" s="227">
        <v>45636</v>
      </c>
      <c r="B207" s="219">
        <v>45.1</v>
      </c>
    </row>
    <row r="208" spans="1:2">
      <c r="A208" s="227">
        <v>45636</v>
      </c>
      <c r="B208" s="219">
        <v>30</v>
      </c>
    </row>
    <row r="209" spans="1:2">
      <c r="A209" s="227">
        <v>45637</v>
      </c>
      <c r="B209" s="219">
        <v>23</v>
      </c>
    </row>
    <row r="210" spans="1:2">
      <c r="A210" s="227">
        <v>45637</v>
      </c>
      <c r="B210" s="219">
        <v>11</v>
      </c>
    </row>
    <row r="211" spans="1:2">
      <c r="A211" s="227">
        <v>45637</v>
      </c>
      <c r="B211" s="219">
        <v>12</v>
      </c>
    </row>
    <row r="212" spans="1:2">
      <c r="A212" s="227">
        <v>45637</v>
      </c>
      <c r="B212" s="219">
        <v>13</v>
      </c>
    </row>
    <row r="213" spans="1:2">
      <c r="A213" s="227">
        <v>45637</v>
      </c>
      <c r="B213" s="219">
        <v>18</v>
      </c>
    </row>
    <row r="214" spans="1:2">
      <c r="A214" s="227">
        <v>45637</v>
      </c>
      <c r="B214" s="219">
        <v>17</v>
      </c>
    </row>
    <row r="215" spans="1:2">
      <c r="A215" s="227">
        <v>45637</v>
      </c>
      <c r="B215" s="219">
        <v>17</v>
      </c>
    </row>
    <row r="216" spans="1:2">
      <c r="A216" s="227">
        <v>45638</v>
      </c>
      <c r="B216" s="219">
        <v>19</v>
      </c>
    </row>
    <row r="217" spans="1:2">
      <c r="A217" s="227">
        <v>45638</v>
      </c>
      <c r="B217" s="219">
        <v>19</v>
      </c>
    </row>
    <row r="218" spans="1:2">
      <c r="A218" s="227">
        <v>45639</v>
      </c>
      <c r="B218" s="219">
        <v>13</v>
      </c>
    </row>
    <row r="219" spans="1:2">
      <c r="A219" s="227">
        <v>45639</v>
      </c>
      <c r="B219" s="219">
        <v>17</v>
      </c>
    </row>
    <row r="220" spans="1:2">
      <c r="A220" s="227">
        <v>45639</v>
      </c>
      <c r="B220" s="219">
        <v>30</v>
      </c>
    </row>
    <row r="221" spans="1:2">
      <c r="A221" s="227">
        <v>45639</v>
      </c>
      <c r="B221" s="219">
        <v>21</v>
      </c>
    </row>
    <row r="222" spans="1:2">
      <c r="A222" s="227">
        <v>45639</v>
      </c>
      <c r="B222" s="219">
        <v>39</v>
      </c>
    </row>
    <row r="223" spans="1:2">
      <c r="A223" s="227">
        <v>45639</v>
      </c>
      <c r="B223" s="219">
        <v>25.5</v>
      </c>
    </row>
    <row r="224" spans="1:2">
      <c r="A224" s="227">
        <v>45640</v>
      </c>
      <c r="B224" s="219">
        <v>85.5</v>
      </c>
    </row>
    <row r="225" spans="1:2">
      <c r="A225" s="227">
        <v>45640</v>
      </c>
      <c r="B225" s="219">
        <v>85.5</v>
      </c>
    </row>
    <row r="226" spans="1:2">
      <c r="A226" s="227">
        <v>45642</v>
      </c>
      <c r="B226" s="219">
        <v>24</v>
      </c>
    </row>
    <row r="227" spans="1:2">
      <c r="A227" s="227">
        <v>45642</v>
      </c>
      <c r="B227" s="219">
        <v>22</v>
      </c>
    </row>
    <row r="228" spans="1:2">
      <c r="A228" s="227">
        <v>45642</v>
      </c>
      <c r="B228" s="219">
        <v>20</v>
      </c>
    </row>
    <row r="229" spans="1:2">
      <c r="A229" s="227">
        <v>45642</v>
      </c>
      <c r="B229" s="219">
        <v>20</v>
      </c>
    </row>
    <row r="230" spans="1:2">
      <c r="A230" s="227">
        <v>45642</v>
      </c>
      <c r="B230" s="219">
        <v>9</v>
      </c>
    </row>
    <row r="231" spans="1:2">
      <c r="A231" s="227">
        <v>45643</v>
      </c>
      <c r="B231" s="219">
        <v>127.5</v>
      </c>
    </row>
    <row r="232" spans="1:2">
      <c r="A232" s="227">
        <v>45643</v>
      </c>
      <c r="B232" s="219">
        <v>19</v>
      </c>
    </row>
    <row r="233" spans="1:2">
      <c r="A233" s="227">
        <v>45643</v>
      </c>
      <c r="B233" s="219">
        <v>18.8</v>
      </c>
    </row>
    <row r="234" spans="1:2">
      <c r="A234" s="227">
        <v>45643</v>
      </c>
      <c r="B234" s="219">
        <v>15</v>
      </c>
    </row>
    <row r="235" spans="1:2">
      <c r="A235" s="227">
        <v>45643</v>
      </c>
      <c r="B235" s="219">
        <v>21</v>
      </c>
    </row>
    <row r="236" spans="1:2">
      <c r="A236" s="227">
        <v>45643</v>
      </c>
      <c r="B236" s="219">
        <v>16</v>
      </c>
    </row>
    <row r="237" spans="1:2">
      <c r="A237" s="227">
        <v>45643</v>
      </c>
      <c r="B237" s="219">
        <v>20.5</v>
      </c>
    </row>
    <row r="238" spans="1:2">
      <c r="A238" s="227">
        <v>45643</v>
      </c>
      <c r="B238" s="219">
        <v>153.80000000000001</v>
      </c>
    </row>
    <row r="239" spans="1:2">
      <c r="A239" s="227">
        <v>45643</v>
      </c>
      <c r="B239" s="219">
        <v>28</v>
      </c>
    </row>
    <row r="240" spans="1:2">
      <c r="A240" s="227">
        <v>45644</v>
      </c>
      <c r="B240" s="219">
        <v>18</v>
      </c>
    </row>
    <row r="241" spans="1:2">
      <c r="A241" s="227">
        <v>45644</v>
      </c>
      <c r="B241" s="219">
        <v>20</v>
      </c>
    </row>
    <row r="242" spans="1:2">
      <c r="A242" s="227">
        <v>45644</v>
      </c>
      <c r="B242" s="219">
        <v>29</v>
      </c>
    </row>
    <row r="243" spans="1:2">
      <c r="A243" s="227">
        <v>45644</v>
      </c>
      <c r="B243" s="219">
        <v>29</v>
      </c>
    </row>
    <row r="244" spans="1:2">
      <c r="A244" s="227">
        <v>45644</v>
      </c>
      <c r="B244" s="219">
        <v>24</v>
      </c>
    </row>
    <row r="245" spans="1:2">
      <c r="A245" s="227">
        <v>45645</v>
      </c>
      <c r="B245" s="219">
        <v>12.5</v>
      </c>
    </row>
    <row r="246" spans="1:2">
      <c r="A246" s="227">
        <v>45645</v>
      </c>
      <c r="B246" s="219">
        <v>14</v>
      </c>
    </row>
    <row r="247" spans="1:2">
      <c r="A247" s="227">
        <v>45645</v>
      </c>
      <c r="B247" s="219">
        <v>18</v>
      </c>
    </row>
    <row r="248" spans="1:2">
      <c r="A248" s="227">
        <v>45645</v>
      </c>
      <c r="B248" s="219">
        <v>35</v>
      </c>
    </row>
    <row r="249" spans="1:2">
      <c r="A249" s="227">
        <v>45645</v>
      </c>
      <c r="B249" s="219">
        <v>12.5</v>
      </c>
    </row>
    <row r="250" spans="1:2">
      <c r="A250" s="227">
        <v>45645</v>
      </c>
      <c r="B250" s="219">
        <v>40</v>
      </c>
    </row>
    <row r="251" spans="1:2">
      <c r="A251" s="227">
        <v>45645</v>
      </c>
      <c r="B251" s="219">
        <v>46.6</v>
      </c>
    </row>
    <row r="252" spans="1:2">
      <c r="A252" s="227">
        <v>45646</v>
      </c>
      <c r="B252" s="219">
        <v>12</v>
      </c>
    </row>
    <row r="253" spans="1:2">
      <c r="A253" s="227">
        <v>45646</v>
      </c>
      <c r="B253" s="219">
        <v>13.5</v>
      </c>
    </row>
    <row r="254" spans="1:2">
      <c r="A254" s="227">
        <v>45646</v>
      </c>
      <c r="B254" s="219">
        <v>66.599999999999994</v>
      </c>
    </row>
    <row r="255" spans="1:2">
      <c r="A255" s="227">
        <v>45646</v>
      </c>
      <c r="B255" s="219">
        <v>10</v>
      </c>
    </row>
    <row r="256" spans="1:2">
      <c r="A256" s="227">
        <v>45646</v>
      </c>
      <c r="B256" s="219">
        <v>20</v>
      </c>
    </row>
    <row r="257" spans="1:2">
      <c r="A257" s="227">
        <v>45646</v>
      </c>
      <c r="B257" s="219">
        <v>25</v>
      </c>
    </row>
    <row r="258" spans="1:2">
      <c r="A258" s="227">
        <v>45646</v>
      </c>
      <c r="B258" s="219">
        <v>17</v>
      </c>
    </row>
    <row r="259" spans="1:2">
      <c r="A259" s="227">
        <v>45646</v>
      </c>
      <c r="B259" s="219">
        <v>65.099999999999994</v>
      </c>
    </row>
    <row r="260" spans="1:2">
      <c r="A260" s="227">
        <v>45646</v>
      </c>
      <c r="B260" s="219">
        <v>42.5</v>
      </c>
    </row>
    <row r="261" spans="1:2">
      <c r="A261" s="227">
        <v>45647</v>
      </c>
      <c r="B261" s="219">
        <v>10.4</v>
      </c>
    </row>
    <row r="262" spans="1:2">
      <c r="A262" s="227">
        <v>45647</v>
      </c>
      <c r="B262" s="219">
        <v>12</v>
      </c>
    </row>
    <row r="263" spans="1:2">
      <c r="A263" s="227">
        <v>45647</v>
      </c>
      <c r="B263" s="218">
        <v>21.9</v>
      </c>
    </row>
    <row r="264" spans="1:2">
      <c r="A264" s="227">
        <v>45647</v>
      </c>
      <c r="B264" s="218">
        <v>30</v>
      </c>
    </row>
    <row r="265" spans="1:2">
      <c r="A265" s="227">
        <v>45647</v>
      </c>
      <c r="B265" s="219">
        <v>24</v>
      </c>
    </row>
    <row r="266" spans="1:2">
      <c r="A266" s="227">
        <v>45647</v>
      </c>
      <c r="B266" s="218">
        <v>20</v>
      </c>
    </row>
    <row r="267" spans="1:2">
      <c r="A267" s="227">
        <v>45647</v>
      </c>
      <c r="B267" s="218">
        <v>37</v>
      </c>
    </row>
    <row r="268" spans="1:2">
      <c r="A268" s="227">
        <v>45647</v>
      </c>
      <c r="B268" s="219">
        <v>65</v>
      </c>
    </row>
    <row r="269" spans="1:2">
      <c r="A269" s="227">
        <v>45649</v>
      </c>
      <c r="B269" s="219">
        <v>18</v>
      </c>
    </row>
    <row r="270" spans="1:2">
      <c r="A270" s="227">
        <v>45649</v>
      </c>
      <c r="B270" s="219">
        <v>20</v>
      </c>
    </row>
    <row r="271" spans="1:2">
      <c r="A271" s="227">
        <v>45649</v>
      </c>
      <c r="B271" s="219">
        <v>13</v>
      </c>
    </row>
    <row r="272" spans="1:2">
      <c r="A272" s="227">
        <v>45649</v>
      </c>
      <c r="B272" s="219">
        <v>16</v>
      </c>
    </row>
    <row r="273" spans="1:2">
      <c r="A273" s="227">
        <v>45649</v>
      </c>
      <c r="B273" s="219">
        <v>25</v>
      </c>
    </row>
    <row r="274" spans="1:2">
      <c r="A274" s="227">
        <v>45650</v>
      </c>
      <c r="B274" s="219">
        <v>34.5</v>
      </c>
    </row>
    <row r="275" spans="1:2">
      <c r="A275" s="227">
        <v>45650</v>
      </c>
      <c r="B275" s="218">
        <v>18</v>
      </c>
    </row>
    <row r="276" spans="1:2">
      <c r="A276" s="227">
        <v>45650</v>
      </c>
      <c r="B276" s="219">
        <v>20</v>
      </c>
    </row>
    <row r="277" spans="1:2">
      <c r="A277" s="227">
        <v>45650</v>
      </c>
      <c r="B277" s="219">
        <v>45</v>
      </c>
    </row>
    <row r="278" spans="1:2">
      <c r="A278" s="227">
        <v>45652</v>
      </c>
      <c r="B278" s="219">
        <v>14.5</v>
      </c>
    </row>
    <row r="279" spans="1:2">
      <c r="A279" s="227">
        <v>45652</v>
      </c>
      <c r="B279" s="219">
        <v>40.6</v>
      </c>
    </row>
    <row r="280" spans="1:2">
      <c r="A280" s="227">
        <v>45652</v>
      </c>
      <c r="B280" s="219">
        <v>24.5</v>
      </c>
    </row>
    <row r="281" spans="1:2">
      <c r="A281" s="227">
        <v>45652</v>
      </c>
      <c r="B281" s="219">
        <v>41.6</v>
      </c>
    </row>
    <row r="282" spans="1:2">
      <c r="A282" s="227">
        <v>45653</v>
      </c>
      <c r="B282" s="219">
        <v>20</v>
      </c>
    </row>
    <row r="283" spans="1:2">
      <c r="A283" s="227">
        <v>45653</v>
      </c>
      <c r="B283" s="219">
        <v>17</v>
      </c>
    </row>
    <row r="284" spans="1:2">
      <c r="A284" s="227">
        <v>45653</v>
      </c>
      <c r="B284" s="219">
        <v>19</v>
      </c>
    </row>
    <row r="285" spans="1:2">
      <c r="A285" s="227">
        <v>45653</v>
      </c>
      <c r="B285" s="219">
        <v>20</v>
      </c>
    </row>
    <row r="286" spans="1:2">
      <c r="A286" s="227">
        <v>45653</v>
      </c>
      <c r="B286" s="219">
        <v>22</v>
      </c>
    </row>
    <row r="287" spans="1:2">
      <c r="A287" s="227">
        <v>45654</v>
      </c>
      <c r="B287" s="219">
        <v>15.5</v>
      </c>
    </row>
    <row r="288" spans="1:2">
      <c r="A288" s="227">
        <v>45654</v>
      </c>
      <c r="B288" s="219">
        <v>6</v>
      </c>
    </row>
    <row r="289" spans="1:2">
      <c r="A289" s="227">
        <v>45654</v>
      </c>
      <c r="B289" s="219">
        <v>8</v>
      </c>
    </row>
    <row r="290" spans="1:2">
      <c r="A290" s="227">
        <v>45654</v>
      </c>
      <c r="B290" s="219">
        <v>15.5</v>
      </c>
    </row>
    <row r="291" spans="1:2">
      <c r="A291" s="227">
        <v>45654</v>
      </c>
      <c r="B291" s="219">
        <v>20</v>
      </c>
    </row>
    <row r="292" spans="1:2">
      <c r="A292" s="227">
        <v>45654</v>
      </c>
      <c r="B292" s="219">
        <v>20</v>
      </c>
    </row>
    <row r="293" spans="1:2">
      <c r="A293" s="227">
        <v>45654</v>
      </c>
      <c r="B293" s="219">
        <v>4</v>
      </c>
    </row>
    <row r="294" spans="1:2">
      <c r="A294" s="227">
        <v>45654</v>
      </c>
      <c r="B294" s="219">
        <v>4</v>
      </c>
    </row>
    <row r="295" spans="1:2">
      <c r="A295" s="227">
        <v>45656</v>
      </c>
      <c r="B295" s="219">
        <v>15</v>
      </c>
    </row>
    <row r="296" spans="1:2">
      <c r="A296" s="227">
        <v>45656</v>
      </c>
      <c r="B296" s="219">
        <v>19.5</v>
      </c>
    </row>
    <row r="297" spans="1:2">
      <c r="A297" s="227">
        <v>45656</v>
      </c>
      <c r="B297" s="219">
        <v>13</v>
      </c>
    </row>
    <row r="298" spans="1:2">
      <c r="A298" s="227">
        <v>45656</v>
      </c>
      <c r="B298" s="219">
        <v>16.5</v>
      </c>
    </row>
    <row r="299" spans="1:2">
      <c r="A299" s="227">
        <v>45656</v>
      </c>
      <c r="B299" s="219">
        <v>14</v>
      </c>
    </row>
    <row r="300" spans="1:2">
      <c r="A300" s="42">
        <v>45656</v>
      </c>
      <c r="B300" s="12">
        <v>15</v>
      </c>
    </row>
    <row r="301" spans="1:2">
      <c r="A301" s="42">
        <v>45656</v>
      </c>
      <c r="B301" s="10">
        <v>12</v>
      </c>
    </row>
    <row r="302" spans="1:2">
      <c r="A302" s="42">
        <v>45657</v>
      </c>
      <c r="B302" s="10">
        <v>15</v>
      </c>
    </row>
    <row r="303" spans="1:2">
      <c r="A303" s="42">
        <v>45657</v>
      </c>
      <c r="B303" s="10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TAXIS_2025</vt:lpstr>
      <vt:lpstr>GASTOS_ 2025</vt:lpstr>
      <vt:lpstr>VENTAS_2025</vt:lpstr>
      <vt:lpstr>VENTAS_NOV_DIC _2024</vt:lpstr>
      <vt:lpstr>GASTOS_2024</vt:lpstr>
      <vt:lpstr>TAXIS_2024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Harumi Reyna</dc:creator>
  <cp:lastModifiedBy>Harumi Reyna</cp:lastModifiedBy>
  <dcterms:created xsi:type="dcterms:W3CDTF">2025-09-14T03:33:24Z</dcterms:created>
  <dcterms:modified xsi:type="dcterms:W3CDTF">2025-09-14T03:33:25Z</dcterms:modified>
</cp:coreProperties>
</file>